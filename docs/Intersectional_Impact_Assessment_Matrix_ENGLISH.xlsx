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drawings/drawing3.xml" ContentType="application/vnd.openxmlformats-officedocument.drawing+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3" showHorizontalScroll="1" showVerticalScroll="1"/>
  </bookViews>
  <sheets>
    <sheet name="0. Readme" sheetId="1" state="visible" r:id="rId1"/>
    <sheet name="1. Matrix" sheetId="2" state="visible" r:id="rId2"/>
    <sheet name="2. Yes-No Checklist" sheetId="3" state="visible" r:id="rId3"/>
    <sheet name="3. Scoring" sheetId="4" state="visible" r:id="rId4"/>
    <sheet name="4. Theoretical references" sheetId="5" state="visible" r:id="rId5"/>
    <sheet name="5. Axes legend" sheetId="6" state="visible" r:id="rId6"/>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<sst xmlns="http://schemas.openxmlformats.org/spreadsheetml/2006/main" count="373" uniqueCount="373">
  <si>
    <t xml:space="preserve">Intersectional Impact Assessment Matrix</t>
  </si>
  <si>
    <t xml:space="preserve">Vision and Language AI · Working tool for the InterVisions project</t>
  </si>
  <si>
    <t>Purpose</t>
  </si>
  <si>
    <t xml:space="preserve">This workbook is the practical companion to the InterVisions Guidelines for an Intersectional Impact Assessment. It operationalises the analytical framework presented in the Guidelines into a structured matrix for assessing AI systems across their lifecycle. Rows correspond to the intersectional dimensions and subdimensions described in the Guidelines; columns correspond to the six areas analysed of the AI lifecycle.</t>
  </si>
  <si>
    <t xml:space="preserve">Structure of each cell</t>
  </si>
  <si>
    <t xml:space="preserve">Each (subdimension × phase) cell contains up to 4 questions: 1 yes/no opener plus up to 3 open follow-up questions. Within each cell the questions are ordered along the dimensional axis indicated in the row header (Short term → Long term · Reflection → Re-visioning · Mitigation → Accountability).</t>
  </si>
  <si>
    <t xml:space="preserve">Sheets in this workbook</t>
  </si>
  <si>
    <t xml:space="preserve">0. Readme</t>
  </si>
  <si>
    <t xml:space="preserve">This page: purpose of the tool and how to navigate it.</t>
  </si>
  <si>
    <t xml:space="preserve">1. Matrix</t>
  </si>
  <si>
    <t xml:space="preserve">The full 8×6 matrix with all questions.</t>
  </si>
  <si>
    <t xml:space="preserve">2. Yes-No Checklist</t>
  </si>
  <si>
    <t xml:space="preserve">Compact checklist of all 48 yes/no openers (audit tool).</t>
  </si>
  <si>
    <t xml:space="preserve">3. Scoring</t>
  </si>
  <si>
    <t xml:space="preserve">Scoring methodology and criteria.</t>
  </si>
  <si>
    <t xml:space="preserve">4. Theoretical references</t>
  </si>
  <si>
    <t xml:space="preserve">Selected references from Chapter 9 (Charting Pathways, Ruiz García &amp; Gómez).</t>
  </si>
  <si>
    <t xml:space="preserve">5. Axes legend</t>
  </si>
  <si>
    <t xml:space="preserve">The three dimensional axes structuring the matrix.</t>
  </si>
  <si>
    <t xml:space="preserve">Project: InterVisions (101214711)</t>
  </si>
  <si>
    <t>CERV-2024-CHAR-LITI-CHARTER</t>
  </si>
  <si>
    <t xml:space="preserve">These guidelines were developed by the InterVisions consortium (ALIA-Donestech, Computer Vision Center and Diputació de
Barcelona), with input from a dedicated Guidelines Working Group and an Advisory Board.</t>
  </si>
  <si>
    <t xml:space="preserve">Funded by the European Union. Views and opinions expressed are however those of the author(s) only and do not necessarily reflect those of the European Union or the European Education and Culture Executive Agency (EACEA). Neither the European Union nor EACEA can be held responsible for them.</t>
  </si>
  <si>
    <t xml:space="preserve">Integrated Intersectional Impact 
Assessment Matrix</t>
  </si>
  <si>
    <t xml:space="preserve">Grey cells = Yes/No opener question · White cells = Open follow-ups · Subcategories grouped by intersectional dimension</t>
  </si>
  <si>
    <t xml:space="preserve">Intersectional dimension</t>
  </si>
  <si>
    <t xml:space="preserve">Subdimension · Axis 
(within-cell ordering)</t>
  </si>
  <si>
    <t xml:space="preserve">PROBLEM FRAMING</t>
  </si>
  <si>
    <t xml:space="preserve">DATA &amp; REPRESENTATION</t>
  </si>
  <si>
    <t xml:space="preserve">MODEL &amp; DEVELOPMENT</t>
  </si>
  <si>
    <t xml:space="preserve">TEAMS &amp; INSTITUTIONS</t>
  </si>
  <si>
    <t>PARTICIPATION</t>
  </si>
  <si>
    <t>IMPACT</t>
  </si>
  <si>
    <t>Life-Machine</t>
  </si>
  <si>
    <r>
      <rPr>
        <b/>
        <sz val="11"/>
        <rFont val="Arial"/>
      </rPr>
      <t xml:space="preserve">Iteration through
the lifespan of the system 
↧  Axis: 
Short term  </t>
    </r>
    <r>
      <rPr>
        <b/>
        <sz val="6"/>
        <rFont val="Arial"/>
      </rPr>
      <t>───►</t>
    </r>
    <r>
      <rPr>
        <b/>
        <sz val="11"/>
        <rFont val="Arial"/>
      </rPr>
      <t xml:space="preserve"> Long term</t>
    </r>
  </si>
  <si>
    <t xml:space="preserve">↧  ordered along axis  ↧</t>
  </si>
  <si>
    <t xml:space="preserve">Y/N · Have you scheduled an Intersectional Impact Assessment (IIA) at multiple moments of the project lifecycle?</t>
  </si>
  <si>
    <t xml:space="preserve">Y/N · Have you assessed dataset biases by group (under/over-represented populations) and used adapted Datasheets to document curation?</t>
  </si>
  <si>
    <t xml:space="preserve">Y/N · Have you scheduled iterative bias audits across architecture decisions, training and evaluation milestones?</t>
  </si>
  <si>
    <t xml:space="preserve">Y/N · Are continuous improvement loops embedded in team workflows for tracking biases and sociotechnical harms?</t>
  </si>
  <si>
    <t xml:space="preserve">Y/N · Are diverse stakeholders engaged in regular feedback loops across the entire project lifecycle, not only at the end?</t>
  </si>
  <si>
    <t xml:space="preserve">Y/N · Have you planned when and how you'll check for bias, harm and disparate impact after deployment?</t>
  </si>
  <si>
    <t xml:space="preserve">› Which populations could be affected directly or indirectly by this project, and how have they been identified?</t>
  </si>
  <si>
    <t xml:space="preserve">› Could the data collection itself cause harm, privacy invasions or community exclusion?</t>
  </si>
  <si>
    <t xml:space="preserve">› How could architecture or training decisions affect different groups differently?</t>
  </si>
  <si>
    <t xml:space="preserve">› How are emerging risks transferred between teams when project responsibilities shift?</t>
  </si>
  <si>
    <t xml:space="preserve">› Which groups are invited at each iteration moment, and how are participation barriers (financial, technological, care) addressed?</t>
  </si>
  <si>
    <t xml:space="preserve">› What unintended impacts have emerged in real-world contexts that were not visible in validation?</t>
  </si>
  <si>
    <t xml:space="preserve">› What structural, historical or social biases might shape the problem you intend to address?</t>
  </si>
  <si>
    <t xml:space="preserve">› What annotation guidelines protect against stereotyping and cultural bias?</t>
  </si>
  <si>
    <t xml:space="preserve">› Are model performance, fairness and harm metrics measured disaggregated by intersectional groups?</t>
  </si>
  <si>
    <t xml:space="preserve">› Do leadership and review structures support sustained iteration rather than one-off audits?</t>
  </si>
  <si>
    <t xml:space="preserve">› How does stakeholder feedback reshape goals, metrics and design decisions in subsequent iterations?</t>
  </si>
  <si>
    <t xml:space="preserve">› What changes are made to the system based on post-deployment feedback, and how are they documented?</t>
  </si>
  <si>
    <t xml:space="preserve">› How will you document foundational decisions, assumptions and trade-offs from the start (e.g., adapted Datasheets and Model Cards)?</t>
  </si>
  <si>
    <t xml:space="preserve">› What retrospective reviews are scheduled to detect exclusion patterns in curated data over time?</t>
  </si>
  <si>
    <t xml:space="preserve">› What documentation (adapted Model Cards) records training decisions, mitigations and pending risks?</t>
  </si>
  <si>
    <t xml:space="preserve">› How will institutional learning be preserved across iterations, hires and project transitions?</t>
  </si>
  <si>
    <t xml:space="preserve">› What evidence shows that participation has actually changed the project's trajectory across iterations?</t>
  </si>
  <si>
    <t xml:space="preserve">› What residual impacts will remain after the system is updated, retired or replaced, and how will they be mitigated?</t>
  </si>
  <si>
    <r>
      <rPr>
        <b/>
        <sz val="11"/>
        <rFont val="Archivo"/>
      </rPr>
      <t xml:space="preserve">The human side 
of the machine 
↧  Axis: 
Short term  </t>
    </r>
    <r>
      <rPr>
        <b/>
        <sz val="7"/>
        <rFont val="Archivo"/>
      </rPr>
      <t>───►</t>
    </r>
    <r>
      <rPr>
        <b/>
        <sz val="11"/>
        <rFont val="Archivo"/>
      </rPr>
      <t xml:space="preserve">  Long term</t>
    </r>
  </si>
  <si>
    <t xml:space="preserve">Y/N · Has a positionality statement been produced identifying who is defining the problem and from which social positions, privileges and powers?</t>
  </si>
  <si>
    <t xml:space="preserve">Y/N · Are data annotators, curators and labelers working under fair, ethical and transparent labor conditions?</t>
  </si>
  <si>
    <t xml:space="preserve">Y/N · Are the experiences of affected communities incorporated into training decisions and model evaluation criteria?</t>
  </si>
  <si>
    <t xml:space="preserve">Y/N · Does the team reflect intersectional diversity and are working conditions equitable?</t>
  </si>
  <si>
    <t xml:space="preserve">Y/N · Are participants recognised, properly compensated and supported with adequate care, time and accessibility resources?</t>
  </si>
  <si>
    <t xml:space="preserve">Y/N · Are user safety, well-being and downstream labor effects monitored after deployment?</t>
  </si>
  <si>
    <t xml:space="preserve">› Which perspectives are absent from the framing stage and how will they be incorporated?</t>
  </si>
  <si>
    <t xml:space="preserve">› Have the labels and categories been co-defined with potentially affected communities rather than imported from existing schemas?</t>
  </si>
  <si>
    <t xml:space="preserve">› Who decides on architecture, parameters, evaluation framework and which iterations advance?</t>
  </si>
  <si>
    <t xml:space="preserve">› Are there salary transparency policies, equitable budgets for subcontracted/external workers, and pay-equity audits?</t>
  </si>
  <si>
    <t xml:space="preserve">› How are language, mobility, disability and digital-literacy barriers addressed for participants?</t>
  </si>
  <si>
    <t xml:space="preserve">› How are users from different regions, languages and cultures supported in real use?</t>
  </si>
  <si>
    <t xml:space="preserve">› How does the funding source align with the project's values, and could it bias decisions or amplify exclusions?</t>
  </si>
  <si>
    <t xml:space="preserve">› Can you use licensed data or data with ethical compensation arrangements for creators and contributors?</t>
  </si>
  <si>
    <t xml:space="preserve">› Is the system evaluated for accessibility (languages, abilities, digital-literacy levels)?</t>
  </si>
  <si>
    <t xml:space="preserve">› Are there safe, retaliation-free complaint mechanisms with clearly defined scope and accessible procedures?</t>
  </si>
  <si>
    <t xml:space="preserve">› Are co-design workshops structured so participants can shape research questions, not only respond to them?</t>
  </si>
  <si>
    <t xml:space="preserve">› What mechanisms exist to address harms, including job displacement and exploitation of creative labor?</t>
  </si>
  <si>
    <t xml:space="preserve">› What alternative formulations of the problem emerge when affected communities are consulted at framing?</t>
  </si>
  <si>
    <t xml:space="preserve">› Are there data stewardship or trust mechanisms that share governance with creators and communities?</t>
  </si>
  <si>
    <t xml:space="preserve">› How does the team's diversity (or lack of it) shape evaluation outcomes and what corrective actions follow?</t>
  </si>
  <si>
    <t xml:space="preserve">› How are care work, flexible schedules and parental leaves distributed and tracked across the team?</t>
  </si>
  <si>
    <t xml:space="preserve">› What measures protect participants from extractive participation, tokenism and emotional labor over-burdening?</t>
  </si>
  <si>
    <t xml:space="preserve">› Is the documentation comprehensible across different levels of technical and linguistic literacy?</t>
  </si>
  <si>
    <r>
      <rPr>
        <b/>
        <sz val="11"/>
        <rFont val="Arial"/>
      </rPr>
      <t xml:space="preserve">Critical self-reflexivity 
↧  Axis: 
Short term  </t>
    </r>
    <r>
      <rPr>
        <b/>
        <sz val="7"/>
        <rFont val="Arial"/>
      </rPr>
      <t>───►</t>
    </r>
    <r>
      <rPr>
        <b/>
        <sz val="11"/>
        <rFont val="Arial"/>
      </rPr>
      <t xml:space="preserve">  Long term</t>
    </r>
  </si>
  <si>
    <t xml:space="preserve">Y/N · Are there structured spaces for the team to reflect on positionality and how systems of oppression shape this project?</t>
  </si>
  <si>
    <t xml:space="preserve">Y/N · Has the team interrogated who has real sovereignty over the data: communities, the institution or technology providers?</t>
  </si>
  <si>
    <t xml:space="preserve">Y/N · Has the team examined which behaviours, identities or practices the model implicitly normalises as 'correct' or 'desirable'?</t>
  </si>
  <si>
    <t xml:space="preserve">Y/N · Are positionality statements and reflexivity workshops integrated as periodic team practice?</t>
  </si>
  <si>
    <t xml:space="preserve">Y/N · Does the team examine its own role and power dynamics within the participatory process itself?</t>
  </si>
  <si>
    <t xml:space="preserve">Y/N · Has the team mapped which institutional dependencies could make it politically difficult to retire the system even if harmful?</t>
  </si>
  <si>
    <t xml:space="preserve">› What ideological frameworks (efficiency, security, productivity, innovation) make the problem seem 'legitimate' to solve with AI?</t>
  </si>
  <si>
    <t xml:space="preserve">› What forms of non-digital, communal or situated knowledge are excluded because they cannot be 'datafied'?</t>
  </si>
  <si>
    <t xml:space="preserve">› Which worldviews become hegemonic when codified in a stable technical system?</t>
  </si>
  <si>
    <t xml:space="preserve">› How are interdisciplinary perspectives (technical + social science + community) protected from being marginalised in decision-making?</t>
  </si>
  <si>
    <t xml:space="preserve">› How do team members reflect on the differences between their own positions and those of participants?</t>
  </si>
  <si>
    <t xml:space="preserve">› Which previously human decisions are now delegated to automated systems, and what democratic deliberation is lost?</t>
  </si>
  <si>
    <t xml:space="preserve">› Which structural problems are being technicized rather than addressed through policy, rights or redistribution?</t>
  </si>
  <si>
    <t xml:space="preserve">› Which dependencies (cloud, foundational models, chips, platforms) are created or reinforced by data choices?</t>
  </si>
  <si>
    <t xml:space="preserve">› Who defines what counts as valid evidence, acceptable error, or tolerable harm during evaluation?</t>
  </si>
  <si>
    <t xml:space="preserve">› Are there interventions to address vertical and horizontal segregation as they emerge?</t>
  </si>
  <si>
    <t xml:space="preserve">› Are mechanisms in place to surface and address discomforts, conflicts or epistemic clashes during participation?</t>
  </si>
  <si>
    <t xml:space="preserve">› How does the system change relations between institutions and citizens (more control, less negotiation, less right to explanation)?</t>
  </si>
  <si>
    <t xml:space="preserve">› What model of society (more automated, surveilled, extractive, centralised) does this project reinforce, and which actors gain power from it?</t>
  </si>
  <si>
    <t xml:space="preserve">› What forms of extractivism (energetic, labor, cognitive, cultural) are made invisible in the data value chain?</t>
  </si>
  <si>
    <t xml:space="preserve">› What political conflicts are being resolved as if they were merely problems of technical performance?</t>
  </si>
  <si>
    <t xml:space="preserve">› How does the team make space for collective learning when biases or blind spots are identified?</t>
  </si>
  <si>
    <t xml:space="preserve">› How does the team avoid presenting consultation as co-design when authority remains centralised?</t>
  </si>
  <si>
    <t xml:space="preserve">› What human, organisational or community capacities are eroded when functions are permanently delegated to AI?</t>
  </si>
  <si>
    <r>
      <rPr>
        <b/>
        <sz val="11"/>
        <rFont val="Archivo"/>
      </rPr>
      <t xml:space="preserve">Sustainability and environment 
↧  Axis: 
Short term  </t>
    </r>
    <r>
      <rPr>
        <b/>
        <sz val="7"/>
        <rFont val="Archivo"/>
      </rPr>
      <t>───►</t>
    </r>
    <r>
      <rPr>
        <b/>
        <sz val="11"/>
        <rFont val="Archivo"/>
      </rPr>
      <t xml:space="preserve">  Long term</t>
    </r>
  </si>
  <si>
    <t xml:space="preserve">Y/N · Has the project budgeted environmental advisory and considered non-technological alternatives with smaller ecological footprint?</t>
  </si>
  <si>
    <t xml:space="preserve">Y/N · Is there a strategy to clean unnecessary data and minimise long-term environmental costs of storage?</t>
  </si>
  <si>
    <t xml:space="preserve">Y/N · Is the energy, water and CO2 footprint of training documented and bounded by reduction targets?</t>
  </si>
  <si>
    <t xml:space="preserve">Y/N · Does the institution audit and report environmental impacts of subcontracted infrastructure (servers, providers)?</t>
  </si>
  <si>
    <t xml:space="preserve">Y/N · Are communities bearing environmental costs of the AI infrastructure consulted and represented in decisions?</t>
  </si>
  <si>
    <t xml:space="preserve">Y/N · Are operational and end-of-life environmental impacts continuously monitored and reported?</t>
  </si>
  <si>
    <t xml:space="preserve">› Does the funding model incentivise ecological efficiency or maximum scale and computational consumption?</t>
  </si>
  <si>
    <t xml:space="preserve">› What environmental impacts arise from the long-term storage, transfer and duplication of data?</t>
  </si>
  <si>
    <t xml:space="preserve">› Which design decisions prioritize performance or scientific prestige over environmental sustainability?</t>
  </si>
  <si>
    <t xml:space="preserve">› Are providers transparent about their long-term environmental impacts?</t>
  </si>
  <si>
    <t xml:space="preserve">› How are local impacts (water, energy, e-waste) communicated transparently to affected territories?</t>
  </si>
  <si>
    <t xml:space="preserve">› What environmental impacts emerge when millions of users operate the system continuously?</t>
  </si>
  <si>
    <t xml:space="preserve">› Could communities with environmental knowledge and commitment be consulted at framing?</t>
  </si>
  <si>
    <t xml:space="preserve">› Are there data kept by inertia whose social value does not justify the ecological cost?</t>
  </si>
  <si>
    <t xml:space="preserve">› Are 'good enough' smaller models discarded in favour of larger but more polluting ones, and why?</t>
  </si>
  <si>
    <t xml:space="preserve">› Are environmental criteria part of procurement and partnership decisions?</t>
  </si>
  <si>
    <t xml:space="preserve">› Are environmental advisors, ecologists or grassroots groups included in stakeholder mapping?</t>
  </si>
  <si>
    <t xml:space="preserve">› What material and energy waste is left when the system is updated or abandoned?</t>
  </si>
  <si>
    <t xml:space="preserve">› What 'green innovation' narratives might be hiding environmentally unsustainable practices?</t>
  </si>
  <si>
    <t xml:space="preserve">› Where are the data centres located and what impacts do they have on local water, energy and waste systems?</t>
  </si>
  <si>
    <t xml:space="preserve">› Is environmental impact treated as a success criterion at the same level as accuracy or performance?</t>
  </si>
  <si>
    <t xml:space="preserve">› Do regional equity assessments consider whether environmental burdens are shifted to vulnerable communities?</t>
  </si>
  <si>
    <t xml:space="preserve">› How is the ethic of reciprocity (rather than extraction) embedded in environmental governance?</t>
  </si>
  <si>
    <t xml:space="preserve">› Who is held ecologically accountable for cumulative impacts across the system's lifespan?</t>
  </si>
  <si>
    <t>Systemic-Political</t>
  </si>
  <si>
    <r>
      <rPr>
        <b/>
        <sz val="11"/>
        <rFont val="Archivo"/>
      </rPr>
      <t xml:space="preserve">Implementing an intersectional approach 
↧  Axis: 
Reflection  </t>
    </r>
    <r>
      <rPr>
        <b/>
        <sz val="7"/>
        <rFont val="Archivo"/>
      </rPr>
      <t>───►</t>
    </r>
    <r>
      <rPr>
        <b/>
        <sz val="11"/>
        <rFont val="Archivo"/>
      </rPr>
      <t xml:space="preserve">  Re-visioning</t>
    </r>
  </si>
  <si>
    <t xml:space="preserve">Y/N · Has an intersectional analysis identified the social groups that may be affected, and the structural conditions of inequality?</t>
  </si>
  <si>
    <t xml:space="preserve">Y/N · Has the dataset been examined to identify which identities or experiences are simplified, pathologised or decontextualized when turned into variables?</t>
  </si>
  <si>
    <t xml:space="preserve">Y/N · Are intersectional fairness metrics (multidimensional, not single-axis) part of the model evaluation framework?</t>
  </si>
  <si>
    <t xml:space="preserve">Y/N · Does the team have access to standing intersectional advisory (internal or external) integrated with decision-making?</t>
  </si>
  <si>
    <t xml:space="preserve">Y/N · Are participatory processes designed to include groups at the intersection of multiple axes of marginalisation, not only single categories?</t>
  </si>
  <si>
    <t xml:space="preserve">Y/N · Are post-deployment outcomes monitored disaggregated by intersectional groups, with clear thresholds for re-training or retirement?</t>
  </si>
  <si>
    <t xml:space="preserve">› What are the root causes of intersectional bias relevant to this problem, and which actors generate them?</t>
  </si>
  <si>
    <t xml:space="preserve">› Which social relations become visible, legible and governable through the data, and which remain outside?</t>
  </si>
  <si>
    <t xml:space="preserve">› What social hierarchies become naturalised when learned as 'objective' patterns?</t>
  </si>
  <si>
    <t xml:space="preserve">› Are technical decisions accompanied by intersectional impact memos?</t>
  </si>
  <si>
    <t xml:space="preserve">› How is meaningful (not symbolic) participation guaranteed for communities at the margins?</t>
  </si>
  <si>
    <t xml:space="preserve">› How does the model reproduce or reinforce existing power imbalances in real use?</t>
  </si>
  <si>
    <t xml:space="preserve">› Which structural inequalities are being redefined as technical problems rather than political or social ones?</t>
  </si>
  <si>
    <t xml:space="preserve">› What harms or biases may emerge from inherited categories that do not reflect social complexity?</t>
  </si>
  <si>
    <t xml:space="preserve">› Once trained, of the biases identified, which are corrected and which are reproduced?</t>
  </si>
  <si>
    <t xml:space="preserve">› How is contextual analysis (social, political, economic, cultural) brought into team processes?</t>
  </si>
  <si>
    <t xml:space="preserve">› Which mechanisms exist to redistribute decision-making power towards under-represented intersectional groups?</t>
  </si>
  <si>
    <t xml:space="preserve">› Are there access barriers and unequal benefits across social groups in deployment?</t>
  </si>
  <si>
    <t xml:space="preserve">› What deep transformations beyond 'subgroup fairness' is the project aiming for?</t>
  </si>
  <si>
    <t xml:space="preserve">› Are intersectional axes used as analytical lenses (not only descriptive labels) when examining the data?</t>
  </si>
  <si>
    <t xml:space="preserve">› What social conflicts are transformed into problems of classification, prediction or optimisation?</t>
  </si>
  <si>
    <t xml:space="preserve">› What institutional changes (governance, hiring, leadership) does the project advocate for to sustain intersectional fairness?</t>
  </si>
  <si>
    <t xml:space="preserve">› How are barriers (economic, time, mobility, cultural) addressed to enable equitable participation?</t>
  </si>
  <si>
    <t xml:space="preserve">› Which groups would be most affected by the system's withdrawal, and how is that planned for?</t>
  </si>
  <si>
    <r>
      <rPr>
        <b/>
        <sz val="11"/>
        <rFont val="Archivo"/>
      </rPr>
      <t xml:space="preserve">Data Feminism 
↧  Axis: 
Reflection  </t>
    </r>
    <r>
      <rPr>
        <b/>
        <sz val="7"/>
        <rFont val="Archivo"/>
      </rPr>
      <t>───►</t>
    </r>
    <r>
      <rPr>
        <b/>
        <sz val="11"/>
        <rFont val="Archivo"/>
      </rPr>
      <t xml:space="preserve">  Re-visioning</t>
    </r>
  </si>
  <si>
    <t xml:space="preserve">Y/N · At the framing stage, has the project identified who controls, benefits from, and is excluded by the data envisioned?</t>
  </si>
  <si>
    <t xml:space="preserve">Y/N · Have you examined how data collection, annotation, filtering and interpretation reflect existing power structures?</t>
  </si>
  <si>
    <t xml:space="preserve">Y/N · Have binary or hierarchical categorical assumptions in model design been identified and challenged?</t>
  </si>
  <si>
    <t xml:space="preserve">Y/N · Are care work and the geographies of data labour explicitly considered in team composition, contracts and budgets?</t>
  </si>
  <si>
    <t xml:space="preserve">Y/N · Are communities in vulnerable positions involved in the creation, annotation and analysis of datasets in meaningful ways?</t>
  </si>
  <si>
    <t xml:space="preserve">Y/N · Are there responsibilities formally assigned for repairing symbolic and not only technical harms?</t>
  </si>
  <si>
    <t xml:space="preserve">› From which social experiences is 'the problem' defined as worth converting into data?</t>
  </si>
  <si>
    <t xml:space="preserve">› Whose voices, experiences or realities are silenced in the data production process?</t>
  </si>
  <si>
    <t xml:space="preserve">› Which voices, experiences or realities are silenced during training?</t>
  </si>
  <si>
    <t xml:space="preserve">› Which geographies produce data and which extract, process and capitalise on it within the institution?</t>
  </si>
  <si>
    <t xml:space="preserve">› How is the participation of these communities made meaningful and not symbolic?</t>
  </si>
  <si>
    <t xml:space="preserve">› What memories, traumas or stigmas might become permanently inscribed in the data systems?</t>
  </si>
  <si>
    <t xml:space="preserve">› What axes of inequality and systems of oppression operate in the problem you want to address?</t>
  </si>
  <si>
    <t xml:space="preserve">› How are rigid categories (binary gender, fixed class, simplified race) replaced with more inclusive, intersectional ones?</t>
  </si>
  <si>
    <t xml:space="preserve">› Whose labor is performed during training and evaluation, and how is it recognised?</t>
  </si>
  <si>
    <t xml:space="preserve">› Which infrastructures of the institution reinforce centre-periphery relations in knowledge production?</t>
  </si>
  <si>
    <t xml:space="preserve">› Which working and care conditions of contributors are made visible and supported?</t>
  </si>
  <si>
    <t xml:space="preserve">› Who can interpret or contest the system's results in everyday practice?</t>
  </si>
  <si>
    <t xml:space="preserve">› How will care work and emotional/embodied knowledge be valued in framing the data work?</t>
  </si>
  <si>
    <t xml:space="preserve">› How is the labor of annotators, cleaners and curators recognised or invisibilised in the data pipeline?</t>
  </si>
  <si>
    <t xml:space="preserve">› Which identities become invisible when they cannot be adequately represented in the model's outputs?</t>
  </si>
  <si>
    <t xml:space="preserve">› How does the institution acknowledge and address contributions from communities who provide knowledge without recognition or benefit?</t>
  </si>
  <si>
    <t xml:space="preserve">› Who gains symbolic, economic or political power from the data produced, and is this redistributed?</t>
  </si>
  <si>
    <t xml:space="preserve">› How does the meaning of data shift when it is used in contexts different from those of its production?</t>
  </si>
  <si>
    <t>Methods-Metrics</t>
  </si>
  <si>
    <r>
      <rPr>
        <b/>
        <sz val="11"/>
        <rFont val="Archivo"/>
      </rPr>
      <t xml:space="preserve">Participatory AI 
↧  Axis: 
Mitigation  </t>
    </r>
    <r>
      <rPr>
        <b/>
        <sz val="7"/>
        <rFont val="Archivo"/>
      </rPr>
      <t>───►</t>
    </r>
    <r>
      <rPr>
        <b/>
        <sz val="11"/>
        <rFont val="Archivo"/>
      </rPr>
      <t xml:space="preserve">  Accountability</t>
    </r>
  </si>
  <si>
    <t xml:space="preserve">Y/N · Have the relevant communities and stakeholders that may be affected by these technologies been mapped at framing?</t>
  </si>
  <si>
    <t xml:space="preserve">Y/N · Was the kind of data to be collected, and the labels to be used, decided with active participation of the communities concerned?</t>
  </si>
  <si>
    <t xml:space="preserve">Y/N · Have affected communities retained governance over their data during training (e.g., federated learning, data trusts)?</t>
  </si>
  <si>
    <t xml:space="preserve">Y/N ·  Is participation, co-design and stakeholder engagement work built into job descriptions, budgets and timelines, not just added on afterwards?</t>
  </si>
  <si>
    <t xml:space="preserve">Y/N · Are co-design workshops and continuous feedback loops the primary participation methods, with documented influence on outcomes?</t>
  </si>
  <si>
    <t xml:space="preserve">Y/N · Is participation a constant, long-term strategy with continuous feedback during deployment and end-of-life?</t>
  </si>
  <si>
    <t xml:space="preserve">› Which voices may be missing in this initial phase, and how will they be integrated?</t>
  </si>
  <si>
    <t xml:space="preserve">› Are the tools used for annotation, communication and training of participants accessible and accepted by them?</t>
  </si>
  <si>
    <t xml:space="preserve">› Has the model objective function (loss weights, vocabulary, tokenisation) been discussed with the participant group?</t>
  </si>
  <si>
    <t xml:space="preserve">› Does the team include participation specialists, social scientists and community liaisons alongside technical staff?</t>
  </si>
  <si>
    <t xml:space="preserve">› How is the diversity of participants measured (Stakeholder Diversity Index, Participation Equity Score)?</t>
  </si>
  <si>
    <t xml:space="preserve">› Are vulnerable communities involved in the development of monitoring and re-training strategies?</t>
  </si>
  <si>
    <t xml:space="preserve">› Does the project motivation reflect concerns explicitly expressed by diverse stakeholders?</t>
  </si>
  <si>
    <t xml:space="preserve">› Has the community been consulted about potential information loss during preprocessing and curation?</t>
  </si>
  <si>
    <t xml:space="preserve">› Are technical decisions and their consequences documented and accessible to participants and affected groups?</t>
  </si>
  <si>
    <t xml:space="preserve">› How is the institution accountable for the time, care and follow-up that meaningful participation requires?</t>
  </si>
  <si>
    <t xml:space="preserve">› What barriers to participation (financial, technological, care, time) are tracked and mitigated?</t>
  </si>
  <si>
    <t xml:space="preserve">› Were stakeholders consulted on decisions to finalize, replace or retire the system, and on transitions?</t>
  </si>
  <si>
    <t xml:space="preserve">› How will participants receive valuable compensation for their contribution?</t>
  </si>
  <si>
    <t xml:space="preserve">› Are there verification or human-in-the-loop checkpoints during preprocessing and curation?</t>
  </si>
  <si>
    <t xml:space="preserve">› Are the evaluation goals and metrics aligned with the interests of the affected population?</t>
  </si>
  <si>
    <t xml:space="preserve">› Are there clear protocols for sharing decision-making authority with stakeholders, and how are conflicts resolved?</t>
  </si>
  <si>
    <t xml:space="preserve">› How is participant satisfaction with the participatory process itself evaluated and acted upon?</t>
  </si>
  <si>
    <t xml:space="preserve">› Is any of the participatory input being lost across iterations or versions over time?</t>
  </si>
  <si>
    <r>
      <rPr>
        <b/>
        <sz val="11"/>
        <rFont val="Archivo"/>
      </rPr>
      <t xml:space="preserve">Scales of value and knowledge 
↧  Axis: 
Mitigation  </t>
    </r>
    <r>
      <rPr>
        <b/>
        <sz val="7"/>
        <rFont val="Archivo"/>
      </rPr>
      <t>───►</t>
    </r>
    <r>
      <rPr>
        <b/>
        <sz val="11"/>
        <rFont val="Archivo"/>
      </rPr>
      <t xml:space="preserve">  Accountability</t>
    </r>
  </si>
  <si>
    <t xml:space="preserve">Y/N · Is it explicit who decides which problem is most important and which conception of 'value' (economic, social, symbolic, spiritual) legitimises this project over alternatives?</t>
  </si>
  <si>
    <t xml:space="preserve">Y/N · Has the team examined which types of knowledge become inscribed in the data infrastructure as 'standards', and which become impractical?</t>
  </si>
  <si>
    <t xml:space="preserve">Y/N · Has the team made explicit which theory of the world (deterministic, probabilistic, mechanistic, behavioural) is privileged in modelling?</t>
  </si>
  <si>
    <t xml:space="preserve">Y/N · Does the institution recognise plural forms of expertise (technical + situated + ancestral + experiential) when designing methods?</t>
  </si>
  <si>
    <t xml:space="preserve">Y/N · Have community stakeholders had a real say in the methods and metrics used to judge this project?</t>
  </si>
  <si>
    <t xml:space="preserve">Y/N · Are there mechanisms to track which forms of knowledge become institutionalised through the system, and which disappear?</t>
  </si>
  <si>
    <t xml:space="preserve">› Whose knowledge (institutional, expert, situated, ancestral) is recognised when defining the problem?</t>
  </si>
  <si>
    <t xml:space="preserve">› What translation processes turn complex phenomena into data points, and what irreversible meaning is lost?</t>
  </si>
  <si>
    <t xml:space="preserve">› Which phenomena are excluded because they don't conform to logics of prediction?</t>
  </si>
  <si>
    <t xml:space="preserve">› How are situated and everyday knowledges integrated into team practice?</t>
  </si>
  <si>
    <t xml:space="preserve">› How are emotional, narrative or non-quantifiable critiques incorporated rather than dismissed as 'noise'?</t>
  </si>
  <si>
    <t xml:space="preserve">› How does the system transform the way people understand the phenomenon it describes?</t>
  </si>
  <si>
    <t xml:space="preserve">› What metrics are prioritised because they justify investment or institutional legitimacy?</t>
  </si>
  <si>
    <t xml:space="preserve">› Which methodologies are excluded because they are incompatible with available infrastructure?</t>
  </si>
  <si>
    <t xml:space="preserve">› Which metrics are chosen to demonstrate success even if they don't reflect real social impact?</t>
  </si>
  <si>
    <t xml:space="preserve">› Are non-quantifiable contributions valued in evaluations and promotions?</t>
  </si>
  <si>
    <t xml:space="preserve">› Who has authority to decide when the system is 'acceptable' or 'good enough'?</t>
  </si>
  <si>
    <t xml:space="preserve">› Which alternative interpretations are displaced by the technical authority of the system?</t>
  </si>
  <si>
    <t xml:space="preserve">› What forms of benefit are systematically invisibilised because they don't generate measurable returns?</t>
  </si>
  <si>
    <t xml:space="preserve">› Which evaluation tools or frameworks come 'closed' from external providers, and how does that limit value pluralism?</t>
  </si>
  <si>
    <t xml:space="preserve">› Which alternative methods proposed by non-technical actors are discarded, and why?</t>
  </si>
  <si>
    <t xml:space="preserve">› How is multidisciplinary dialogue structured to enrich (not dilute) intersectional analysis?</t>
  </si>
  <si>
    <t xml:space="preserve">› How are disagreements between technical and social evaluations adjudicated?</t>
  </si>
  <si>
    <t xml:space="preserve">Which historical events or claims does this system's data treat as settled fact, and what would it take to revise them if new evidence emerged?</t>
  </si>
  <si>
    <t xml:space="preserve">Yes/No audit checklist · 48 opener questions</t>
  </si>
  <si>
    <t xml:space="preserve">One row per (subdimension × phase) cell. Use the Notes column to record evidence and follow-ups.</t>
  </si>
  <si>
    <t>DIMENSION</t>
  </si>
  <si>
    <t>SUBDIMENSION</t>
  </si>
  <si>
    <t>PHASE</t>
  </si>
  <si>
    <t xml:space="preserve">YES/NO QUESTION</t>
  </si>
  <si>
    <t xml:space="preserve">Y / N / NA</t>
  </si>
  <si>
    <t xml:space="preserve">NOTES &amp; EVIDENCE</t>
  </si>
  <si>
    <t xml:space="preserve">Iteration through the lifespan of the system</t>
  </si>
  <si>
    <t xml:space="preserve">Problem framing</t>
  </si>
  <si>
    <t xml:space="preserve">Have you scheduled an Intersectional Impact Assessment (IIA) at multiple moments of the project lifecycle?</t>
  </si>
  <si>
    <t xml:space="preserve">Data &amp; representation</t>
  </si>
  <si>
    <t xml:space="preserve">Have you assessed dataset biases by group (under/over-represented populations) and used adapted Datasheets to document curation?</t>
  </si>
  <si>
    <t xml:space="preserve">Model &amp; development</t>
  </si>
  <si>
    <t xml:space="preserve">Have you scheduled iterative bias audits across architecture decisions, training and evaluation milestones?</t>
  </si>
  <si>
    <t xml:space="preserve">Teams &amp; institutions</t>
  </si>
  <si>
    <t xml:space="preserve">Are continuous improvement loops embedded in team workflows for tracking biases and sociotechnical harms?</t>
  </si>
  <si>
    <t>Participation</t>
  </si>
  <si>
    <t xml:space="preserve">Are diverse stakeholders engaged in regular feedback loops across the entire project lifecycle, not only at the end?</t>
  </si>
  <si>
    <t>Impact</t>
  </si>
  <si>
    <t xml:space="preserve">Have you planned when and how you'll check for bias, harm and disparate impact after deployment?</t>
  </si>
  <si>
    <t xml:space="preserve">The Human Side of the Machine</t>
  </si>
  <si>
    <t xml:space="preserve">Has a positionality statement been produced identifying who is defining the problem and from which social positions, privileges and powers?</t>
  </si>
  <si>
    <t xml:space="preserve">Are data annotators, curators and labelers working under fair, ethical and transparent labor conditions?</t>
  </si>
  <si>
    <t xml:space="preserve">Are the experiences of affected communities incorporated into training decisions and model evaluation criteria?</t>
  </si>
  <si>
    <t xml:space="preserve">Does the team reflect intersectional diversity and are working conditions equitable?</t>
  </si>
  <si>
    <t xml:space="preserve">Are participants recognised, properly compensated and supported with adequate care, time and accessibility resources?</t>
  </si>
  <si>
    <t xml:space="preserve">Are user safety, well-being and downstream labor effects monitored after deployment?</t>
  </si>
  <si>
    <t xml:space="preserve">Critical Self-reflexivity</t>
  </si>
  <si>
    <t xml:space="preserve">Are there structured spaces for the team to reflect on positionality and how systems of oppression shape this project?</t>
  </si>
  <si>
    <t xml:space="preserve">Has the team interrogated who has real sovereignty over the data: communities, the institution or technology providers?</t>
  </si>
  <si>
    <t xml:space="preserve">Has the team examined which behaviours, identities or practices the model implicitly normalises as 'correct' or 'desirable'?</t>
  </si>
  <si>
    <t xml:space="preserve">Are positionality statements and reflexivity workshops integrated as periodic team practice?</t>
  </si>
  <si>
    <t xml:space="preserve">Does the team examine its own role and power dynamics within the participatory process itself?</t>
  </si>
  <si>
    <t xml:space="preserve">Has the team mapped which institutional dependencies could make it politically difficult to retire the system even if harmful?</t>
  </si>
  <si>
    <t xml:space="preserve">Sustainability and Environment</t>
  </si>
  <si>
    <t xml:space="preserve">Has the project budgeted environmental advisory and considered non-technological alternatives with smaller ecological footprint?</t>
  </si>
  <si>
    <t xml:space="preserve">Is there a strategy to clean unnecessary data and minimise long-term environmental costs of storage?</t>
  </si>
  <si>
    <t xml:space="preserve">Is the energy, water and CO2 footprint of training documented and bounded by reduction targets?</t>
  </si>
  <si>
    <t xml:space="preserve">Does the institution audit and report environmental impacts of subcontracted infrastructure (servers, providers)?</t>
  </si>
  <si>
    <t xml:space="preserve">Are communities bearing environmental costs of the AI infrastructure consulted and represented in decisions?</t>
  </si>
  <si>
    <t xml:space="preserve">Are operational and end-of-life environmental impacts continuously monitored and reported?</t>
  </si>
  <si>
    <t xml:space="preserve">Implementing an Intersectional approach</t>
  </si>
  <si>
    <t xml:space="preserve">Has an intersectional analysis identified the social groups (defined by gender, race, class, disability, age, geography) that may be affected, and the structural conditions of inequality?</t>
  </si>
  <si>
    <t xml:space="preserve">Has the dataset been examined to identify which identities or experiences are simplified, pathologised or decontextualized when turned into variables?</t>
  </si>
  <si>
    <t xml:space="preserve">Are intersectional fairness metrics (multidimensional, not single-axis) part of the model evaluation framework?</t>
  </si>
  <si>
    <t xml:space="preserve">Does the team have access to standing intersectional advisory (internal or external) integrated with decision-making?</t>
  </si>
  <si>
    <t xml:space="preserve">Are participatory processes designed to include groups at the intersection of multiple axes of marginalisation, not only single categories?</t>
  </si>
  <si>
    <t xml:space="preserve">Are post-deployment outcomes monitored disaggregated by intersectional groups, with clear thresholds for re-training or retirement?</t>
  </si>
  <si>
    <t xml:space="preserve">Data Feminism</t>
  </si>
  <si>
    <t xml:space="preserve">At the framing stage, has the project identified who controls, benefits from, and is excluded by the data envisioned?</t>
  </si>
  <si>
    <t xml:space="preserve">Have you examined how data collection, annotation, filtering and interpretation reflect existing power structures?</t>
  </si>
  <si>
    <t xml:space="preserve">Have binary or hierarchical categorical assumptions in model design been identified and challenged?</t>
  </si>
  <si>
    <t xml:space="preserve">Are care work and the geographies of data labour explicitly considered in team composition, contracts and budgets?</t>
  </si>
  <si>
    <t xml:space="preserve">Are communities in vulnerable positions involved in the creation, annotation and analysis of datasets in meaningful ways?</t>
  </si>
  <si>
    <t xml:space="preserve">Are there responsibilities formally assigned for repairing symbolic and not only technical harms?</t>
  </si>
  <si>
    <t xml:space="preserve">Participatory AI</t>
  </si>
  <si>
    <t xml:space="preserve">Have the relevant communities and stakeholders that may be affected by these technologies been mapped at framing?</t>
  </si>
  <si>
    <t xml:space="preserve">Was the kind of data to be collected, and the labels to be used, decided with active participation of the communities concerned?</t>
  </si>
  <si>
    <t xml:space="preserve">Have affected communities retained governance over their data during training (e.g., federated learning, data trusts)?</t>
  </si>
  <si>
    <t xml:space="preserve">Is participation, co-design and stakeholder engagement work built into job descriptions, budgets and timelines, not just added on afterwards?</t>
  </si>
  <si>
    <t xml:space="preserve">Are co-design workshops and continuous feedback loops the primary participation methods, with documented influence on outcomes?</t>
  </si>
  <si>
    <t xml:space="preserve">Is participation a constant, long-term strategy with continuous feedback during deployment and end-of-life?</t>
  </si>
  <si>
    <t xml:space="preserve">Scales of Value and Knowledge</t>
  </si>
  <si>
    <t xml:space="preserve">Is it explicit who decides which problem is most important and which conception of 'value' (economic, social, symbolic, spiritual) legitimises this project over alternatives?</t>
  </si>
  <si>
    <t xml:space="preserve">Has the team examined which types of knowledge become inscribed in the data infrastructure as 'standards', and which become impractical?</t>
  </si>
  <si>
    <t xml:space="preserve">Has the team made explicit which theory of the world (deterministic, probabilistic, mechanistic, behavioural) is privileged in modelling?</t>
  </si>
  <si>
    <t xml:space="preserve">Does the institution recognise plural forms of expertise (technical + situated + ancestral + experiential) when designing methods?</t>
  </si>
  <si>
    <t xml:space="preserve">Have community stakeholders had a real say in the methods and metrics used to judge this project?</t>
  </si>
  <si>
    <t xml:space="preserve">Are there mechanisms to track which forms of knowledge become institutionalised through the system, and which disappear?</t>
  </si>
  <si>
    <t xml:space="preserve">Traffic-light scoring tab</t>
  </si>
  <si>
    <t xml:space="preserve">Score calculated based on the Y/N/NA responses in the "2. Yes-No Checklist" tab.</t>
  </si>
  <si>
    <t xml:space="preserve">A. Score by phase / area (green ≥75%, yellow 50–74%, red &lt;50%)    </t>
  </si>
  <si>
    <t xml:space="preserve">Phase / Area</t>
  </si>
  <si>
    <t xml:space="preserve">Yes Responses</t>
  </si>
  <si>
    <t xml:space="preserve">Applicable Questions (excluding N/A)</t>
  </si>
  <si>
    <t xml:space="preserve">% Yes</t>
  </si>
  <si>
    <t xml:space="preserve">Traffic light score</t>
  </si>
  <si>
    <t xml:space="preserve">B. Score by dimension (green ≥75%, yellow 50–74%, red &lt;50%)</t>
  </si>
  <si>
    <t>Dimension</t>
  </si>
  <si>
    <t xml:space="preserve">C. Overall Assessment Score</t>
  </si>
  <si>
    <t xml:space="preserve">Total IIA (48 questions)</t>
  </si>
  <si>
    <t xml:space="preserve">Traffic light system legend (Has the intersectional perspective been integrated?)</t>
  </si>
  <si>
    <t xml:space="preserve">Green (Integrated)</t>
  </si>
  <si>
    <t xml:space="preserve">Dimension/Overall: ≥75% Yes responses</t>
  </si>
  <si>
    <t xml:space="preserve"> Yellow (Partially Integrated)</t>
  </si>
  <si>
    <t xml:space="preserve">Dimension/Overall: 50–74% Yes responses</t>
  </si>
  <si>
    <t xml:space="preserve"> Red (Not Integrated)</t>
  </si>
  <si>
    <t xml:space="preserve">Dimension/Overall: &lt;50% Yes responses</t>
  </si>
  <si>
    <t>NA</t>
  </si>
  <si>
    <t xml:space="preserve">N/A responses are excluded from the denominator (i.e. non-applicable questions)</t>
  </si>
  <si>
    <t xml:space="preserve">Theoretical references - Chapter 9 
(Charting Pathways)</t>
  </si>
  <si>
    <t xml:space="preserve">Selected references and concepts from: Sonia Ruiz García &amp; Lluis Gómez (2025). 'Charting Pathways: An Intersectional Impact Assessment for Vision and Language Foundation Models'. In Women, Technology, and Power: Unmasking (and Dealing with) Digital Disparities (Ch.9, pp. 225-253).</t>
  </si>
  <si>
    <t>SECTION</t>
  </si>
  <si>
    <t xml:space="preserve">CONCEPT / PRACTICE</t>
  </si>
  <si>
    <t xml:space="preserve">CITED WORKS IN THE CHAPTER</t>
  </si>
  <si>
    <t xml:space="preserve">§4.1 Iteration through the lifespan</t>
  </si>
  <si>
    <t xml:space="preserve">Ongoing monitoring at the 'full pipeline'; 
Datasheets and Model Cards adapted; 
ex-ante / ex-post evaluations; regular feedback loops.</t>
  </si>
  <si>
    <t xml:space="preserve">D'Ignazio &amp; Klein (2019); Ada Lovelace Institute (2020); Ovalle et al. (2023); Collins &amp; Bilge (2020); UNESCO (2023); Gebru et al. (2018); Mitchell et al. (2019).</t>
  </si>
  <si>
    <t xml:space="preserve">§4.1 The Human Side of the Machine</t>
  </si>
  <si>
    <t xml:space="preserve">Who designs / annotates / trains / evaluates; team diversity audits; placing people at the centre; accessibility assessments; labour-practices review.</t>
  </si>
  <si>
    <t xml:space="preserve">Civic (2022); James (2022); Rode (2011).</t>
  </si>
  <si>
    <t xml:space="preserve">§4.1 Critical Self-reflexivity</t>
  </si>
  <si>
    <t xml:space="preserve">Positionality statements; reflexivity workshops; team composition and working conditions; intersectional pay-gap and segregation metrics.</t>
  </si>
  <si>
    <t xml:space="preserve">Civic (2022); Klumbytė, Draude, &amp; Taylor, 2022.</t>
  </si>
  <si>
    <t xml:space="preserve">§4.1 Sustainability and Environment</t>
  </si>
  <si>
    <t xml:space="preserve">Environmental impact audits; sustainable AI development; regional equity assessments; rethinking human-environment relations.</t>
  </si>
  <si>
    <t xml:space="preserve">Ren &amp; Wierman (2024); Lacoste et al. (2019); Moro et al. (2023); Lenherr et al. (2021); Lewis et al. (2023).</t>
  </si>
  <si>
    <t xml:space="preserve">§4.2 Implementing an Intersectional Approach</t>
  </si>
  <si>
    <t xml:space="preserve">Identify root causes of bias; widen the conceptualisation of fairness beyond subgroup fairness; contextual analysis; foster systemic change.</t>
  </si>
  <si>
    <t xml:space="preserve">Collins &amp; Bilge (2020).</t>
  </si>
  <si>
    <t xml:space="preserve">§4.2 Data Feminism</t>
  </si>
  <si>
    <t xml:space="preserve">7 principles: examining/challenging power; valuing emotion and embodiment; rethinking binaries and hierarchies; embracing pluralism; situated knowledge; making labor visible. Participatory data practices.</t>
  </si>
  <si>
    <t xml:space="preserve">D'Ignazio &amp; Klein (2019); Suresh et al. (2022); Civic (2022); Kak &amp; Myers West (2023).</t>
  </si>
  <si>
    <t xml:space="preserve">§4.3 Participatory AI</t>
  </si>
  <si>
    <t xml:space="preserve">Stakeholder mapping; co-design workshops; cross-disciplinary collaboration; inclusive decision-making; 
Feedback mechanisms. Metrics: Stakeholder Diversity Index, Participation Equity Score, Barriers to Participation, Stakeholder Satisfaction Index, Decision-Making Democratic Score.</t>
  </si>
  <si>
    <t xml:space="preserve">Civic (2022); Suresh (2022); Ovalle (2023); Collins &amp; Bilge (2020); Zárate (2021); Ruiz et al. (2023).</t>
  </si>
  <si>
    <t xml:space="preserve">§4.3 Scales of Value and Knowledge</t>
  </si>
  <si>
    <t xml:space="preserve">Participatory design of methods and metrics; bringing situated, everyday and ancestral knowledges. Metrics: Social Inequality, Intersecting Power Relations, Social Context, Relationality, Social Justice, Complexity &amp; Bias, Fairness for Ranked Outputs (NDCG).</t>
  </si>
  <si>
    <t xml:space="preserve">Buolamwini et al. (2018); Suresh et al. (2019); Blodgett et al. (2020); Raj &amp; Ekstrand (2022); Corbett-Davies (2023); D'Ignazio &amp; Klein (2019); Civic (2022); Ovalle et al. (2023).</t>
  </si>
  <si>
    <t xml:space="preserve">Dimensional axes - used to order questions within each cell</t>
  </si>
  <si>
    <t xml:space="preserve">Within each cell, the 4 questions (1 yes/no opener + up to 3 open follow-ups) are ordered along the axis of their main intersectional dimension. The opener is the most basic gateway check; the follow-ups deepen and broaden along the axis.</t>
  </si>
  <si>
    <t>From</t>
  </si>
  <si>
    <t>→</t>
  </si>
  <si>
    <t>To</t>
  </si>
  <si>
    <t xml:space="preserve">Short term</t>
  </si>
  <si>
    <t xml:space="preserve">Long term</t>
  </si>
  <si>
    <t>Reflection</t>
  </si>
  <si>
    <t>Re-visioning</t>
  </si>
  <si>
    <t>Mitigation</t>
  </si>
  <si>
    <t>Accountability</t>
  </si>
  <si>
    <t xml:space="preserve">HOW TO READ EACH CELL</t>
  </si>
  <si>
    <r>
      <rPr>
        <b/>
        <sz val="11"/>
        <color theme="1"/>
        <rFont val="Archivo"/>
      </rPr>
      <t xml:space="preserve">1. Grey opener (Y/N) </t>
    </r>
    <r>
      <rPr>
        <sz val="11"/>
        <color theme="1"/>
        <rFont val="Archivo"/>
      </rPr>
      <t xml:space="preserve">- the foundational compliance question.</t>
    </r>
  </si>
  <si>
    <r>
      <rPr>
        <b/>
        <sz val="11"/>
        <color theme="1"/>
        <rFont val="Archivo"/>
      </rPr>
      <t xml:space="preserve">2. First open follow-up</t>
    </r>
    <r>
      <rPr>
        <sz val="11"/>
        <color theme="1"/>
        <rFont val="Archivo"/>
      </rPr>
      <t xml:space="preserve"> - closest to the 'From' end of the axis (immediate, mitigation-oriented, short-term).</t>
    </r>
  </si>
  <si>
    <r>
      <rPr>
        <b/>
        <sz val="11"/>
        <color theme="1"/>
        <rFont val="Archivo"/>
      </rPr>
      <t xml:space="preserve">3. Second open follow-up</t>
    </r>
    <r>
      <rPr>
        <sz val="11"/>
        <color theme="1"/>
        <rFont val="Archivo"/>
      </rPr>
      <t xml:space="preserve"> - middle of the axis (deeper inquiry, structural).</t>
    </r>
  </si>
  <si>
    <r>
      <rPr>
        <b/>
        <sz val="11"/>
        <rFont val="Archivo"/>
      </rPr>
      <t xml:space="preserve">4. Third open follow-up</t>
    </r>
    <r>
      <rPr>
        <sz val="11"/>
        <rFont val="Archivo"/>
      </rPr>
      <t xml:space="preserve"> -</t>
    </r>
    <r>
      <rPr>
        <sz val="11"/>
        <color theme="1"/>
        <rFont val="Archivo"/>
      </rPr>
      <t xml:space="preserve"> closest to the 'To' end of the axis (re-visioning, accountability, long-term effects).</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</si>
</sst>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0">
    <font>
      <sz val="11.000000"/>
      <color theme="1"/>
      <name val="Calibri"/>
    </font>
    <font>
      <sz val="10.000000"/>
      <name val="Arial"/>
    </font>
    <font>
      <sz val="11.000000"/>
      <color indexed="5"/>
      <name val="Calibri"/>
    </font>
    <font>
      <b/>
      <sz val="18.000000"/>
      <color rgb="FFF6F262"/>
      <name val="Archivo"/>
    </font>
    <font>
      <sz val="11.000000"/>
      <color rgb="FFF6F262"/>
      <name val="Calibri"/>
    </font>
    <font>
      <sz val="11.000000"/>
      <color indexed="5"/>
      <name val="Archivo"/>
    </font>
    <font>
      <i/>
      <sz val="12.000000"/>
      <color rgb="FFF6F262"/>
      <name val="Archivo"/>
    </font>
    <font>
      <sz val="11.000000"/>
      <color rgb="FFF6F262"/>
      <name val="Archivo"/>
    </font>
    <font>
      <b/>
      <sz val="14.000000"/>
      <name val="Archivo"/>
    </font>
    <font>
      <sz val="11.000000"/>
      <color theme="1"/>
      <name val="Archivo"/>
    </font>
    <font>
      <b/>
      <sz val="14.000000"/>
      <name val="Arial"/>
    </font>
    <font>
      <b/>
      <sz val="12.000000"/>
      <name val="Archivo"/>
    </font>
    <font>
      <b/>
      <sz val="11.000000"/>
      <name val="Archivo"/>
    </font>
    <font>
      <b/>
      <sz val="11.000000"/>
      <name val="Arial"/>
    </font>
    <font>
      <sz val="9.000000"/>
      <color theme="1"/>
      <name val="Archivo"/>
    </font>
    <font>
      <sz val="9.000000"/>
      <name val="Times New Roman"/>
    </font>
    <font>
      <sz val="9.000000"/>
      <color theme="0" tint="-0.5"/>
      <name val="Archivo"/>
    </font>
    <font>
      <sz val="11.000000"/>
      <name val="Archivo"/>
    </font>
    <font>
      <b/>
      <sz val="16.000000"/>
      <color rgb="FF1E1E1E"/>
      <name val="Archivo"/>
    </font>
    <font>
      <i/>
      <sz val="10.000000"/>
      <name val="Archivo"/>
    </font>
    <font>
      <b/>
      <sz val="11.000000"/>
      <color indexed="65"/>
      <name val="Archivo"/>
    </font>
    <font>
      <b/>
      <sz val="12.000000"/>
      <color rgb="FF1E1E1E"/>
      <name val="Archivo"/>
    </font>
    <font>
      <i/>
      <sz val="9.000000"/>
      <color rgb="FF555555"/>
      <name val="Archivo"/>
    </font>
    <font>
      <b/>
      <sz val="11.000000"/>
      <color rgb="FF1E1E1E"/>
      <name val="Arial"/>
    </font>
    <font>
      <b/>
      <sz val="10.000000"/>
      <name val="Archivo"/>
    </font>
    <font>
      <sz val="10.000000"/>
      <name val="Archivo"/>
    </font>
    <font>
      <b/>
      <sz val="11.000000"/>
      <color rgb="FF1E1E1E"/>
      <name val="Archivo"/>
    </font>
    <font>
      <b/>
      <sz val="12.000000"/>
      <color rgb="FF1E1E1E"/>
      <name val="Arial"/>
    </font>
    <font>
      <b/>
      <sz val="16.000000"/>
      <name val="Archivo"/>
    </font>
    <font>
      <b/>
      <sz val="10.000000"/>
      <color rgb="FF1E1E1E"/>
      <name val="Archivo"/>
    </font>
    <font>
      <sz val="11.000000"/>
      <color theme="1"/>
      <name val="Arial"/>
    </font>
    <font>
      <b/>
      <sz val="14.000000"/>
      <color theme="9" tint="-0.5"/>
      <name val="Archivo"/>
    </font>
    <font>
      <i/>
      <sz val="10.000000"/>
      <color rgb="FF555555"/>
      <name val="Archivo"/>
    </font>
    <font>
      <sz val="11.000000"/>
      <name val="Arial"/>
    </font>
    <font>
      <sz val="11.000000"/>
      <color indexed="65"/>
      <name val="Arial"/>
    </font>
    <font>
      <sz val="11.000000"/>
      <color indexed="65"/>
      <name val="Archivo"/>
    </font>
    <font>
      <sz val="11.000000"/>
      <name val="Calibri"/>
    </font>
    <font>
      <sz val="10.000000"/>
      <color rgb="FF1E1E1E"/>
      <name val="Archivo"/>
    </font>
    <font>
      <b/>
      <sz val="11.000000"/>
      <color theme="1"/>
      <name val="Archivo"/>
    </font>
    <font>
      <b/>
      <sz val="9.000000"/>
      <color theme="1"/>
      <name val="Archivo"/>
    </font>
  </fonts>
  <fills count="25">
    <fill>
      <patternFill patternType="none"/>
    </fill>
    <fill>
      <patternFill patternType="gray125"/>
    </fill>
    <fill>
      <patternFill patternType="solid">
        <fgColor theme="1" tint="0"/>
        <bgColor theme="1" tint="0"/>
      </patternFill>
    </fill>
    <fill>
      <patternFill patternType="solid">
        <fgColor rgb="FFFFFFD7"/>
        <bgColor rgb="FFFEFFD4"/>
      </patternFill>
    </fill>
    <fill>
      <patternFill patternType="solid">
        <fgColor rgb="FFFEFFD4"/>
        <bgColor rgb="FFFEFFD4"/>
      </patternFill>
    </fill>
    <fill>
      <patternFill patternType="solid">
        <fgColor rgb="FF1E1E1E"/>
      </patternFill>
    </fill>
    <fill>
      <patternFill patternType="solid">
        <fgColor rgb="FFB2FB50"/>
      </patternFill>
    </fill>
    <fill>
      <patternFill patternType="solid">
        <fgColor rgb="FFDCFDB0"/>
      </patternFill>
    </fill>
    <fill>
      <patternFill patternType="solid">
        <fgColor rgb="FFF3FEE3"/>
      </patternFill>
    </fill>
    <fill>
      <patternFill patternType="solid">
        <fgColor rgb="FFEDEDED"/>
      </patternFill>
    </fill>
    <fill>
      <patternFill patternType="solid">
        <fgColor indexed="65"/>
        <bgColor rgb="FFF2F2F2"/>
      </patternFill>
    </fill>
    <fill>
      <patternFill patternType="solid">
        <fgColor rgb="FFF5F162"/>
      </patternFill>
    </fill>
    <fill>
      <patternFill patternType="solid">
        <fgColor rgb="FFFAF8B0"/>
      </patternFill>
    </fill>
    <fill>
      <patternFill patternType="solid">
        <fgColor rgb="FFFDFCE3"/>
      </patternFill>
    </fill>
    <fill>
      <patternFill patternType="solid">
        <fgColor rgb="FFF5B8E1"/>
      </patternFill>
    </fill>
    <fill>
      <patternFill patternType="solid">
        <fgColor rgb="FFFAD8EE"/>
      </patternFill>
    </fill>
    <fill>
      <patternFill patternType="solid">
        <fgColor rgb="FFFCEDF8"/>
      </patternFill>
    </fill>
    <fill>
      <patternFill patternType="solid">
        <fgColor indexed="65"/>
      </patternFill>
    </fill>
    <fill>
      <patternFill patternType="solid">
        <fgColor rgb="FFEEEEEE"/>
        <bgColor rgb="FFF2F2F2"/>
      </patternFill>
    </fill>
    <fill>
      <patternFill patternType="solid">
        <bgColor rgb="FF111111"/>
      </patternFill>
    </fill>
    <fill>
      <patternFill patternType="solid">
        <fgColor indexed="63"/>
        <bgColor indexed="5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2F2F2"/>
        <bgColor rgb="FFEEEEEE"/>
      </patternFill>
    </fill>
  </fills>
  <borders count="23">
    <border>
      <left style="none"/>
      <right style="none"/>
      <top style="none"/>
      <bottom style="none"/>
      <diagonal style="none"/>
    </border>
    <border>
      <left style="none"/>
      <right style="none"/>
      <top style="thin">
        <color theme="1"/>
      </top>
      <bottom style="none"/>
      <diagonal style="none"/>
    </border>
    <border>
      <left style="none"/>
      <right style="none"/>
      <top style="none"/>
      <bottom style="thin">
        <color theme="1"/>
      </bottom>
      <diagonal style="none"/>
    </border>
    <border>
      <left style="thin">
        <color indexed="65"/>
      </left>
      <right style="thin">
        <color indexed="65"/>
      </right>
      <top style="thin">
        <color indexed="65"/>
      </top>
      <bottom style="thin">
        <color indexed="65"/>
      </bottom>
      <diagonal style="none"/>
    </border>
    <border>
      <left style="none"/>
      <right style="none"/>
      <top style="thin">
        <color theme="1"/>
      </top>
      <bottom style="thin">
        <color theme="1"/>
      </bottom>
      <diagonal style="none"/>
    </border>
    <border>
      <left style="thin">
        <color rgb="FF999999"/>
      </left>
      <right style="thin">
        <color rgb="FF999999"/>
      </right>
      <top style="thin">
        <color theme="1"/>
      </top>
      <bottom style="thin">
        <color theme="1"/>
      </bottom>
      <diagonal style="none"/>
    </border>
    <border>
      <left style="thin">
        <color theme="1"/>
      </left>
      <right style="thin">
        <color theme="1"/>
      </right>
      <top style="thin">
        <color theme="1"/>
      </top>
      <bottom style="thin">
        <color theme="1"/>
      </bottom>
      <diagonal style="none"/>
    </border>
    <border>
      <left style="thin">
        <color rgb="FF999999"/>
      </left>
      <right style="thin">
        <color rgb="FF999999"/>
      </right>
      <top style="thin">
        <color rgb="FF999999"/>
      </top>
      <bottom style="thin">
        <color rgb="FF999999"/>
      </bottom>
      <diagonal style="none"/>
    </border>
    <border>
      <left style="none"/>
      <right style="none"/>
      <top style="thin">
        <color rgb="FF999999"/>
      </top>
      <bottom style="none"/>
      <diagonal style="none"/>
    </border>
    <border>
      <left style="thin">
        <color rgb="FF999999"/>
      </left>
      <right style="thin">
        <color rgb="FF999999"/>
      </right>
      <top style="thin">
        <color rgb="FF999999"/>
      </top>
      <bottom style="none"/>
      <diagonal style="none"/>
    </border>
    <border>
      <left style="thin">
        <color theme="0" tint="-0.499984740745262"/>
      </left>
      <right style="thin">
        <color theme="0" tint="-0.499984740745262"/>
      </right>
      <top style="thin">
        <color theme="0" tint="-0.499984740745262"/>
      </top>
      <bottom style="thin">
        <color theme="0" tint="-0.499984740745262"/>
      </bottom>
      <diagonal style="none"/>
    </border>
    <border>
      <left style="thin">
        <color rgb="FF999999"/>
      </left>
      <right style="thin">
        <color rgb="FF999999"/>
      </right>
      <top style="none"/>
      <bottom style="thin">
        <color rgb="FF999999"/>
      </bottom>
      <diagonal style="none"/>
    </border>
    <border>
      <left style="thin">
        <color indexed="65"/>
      </left>
      <right style="thin">
        <color indexed="65"/>
      </right>
      <top style="none"/>
      <bottom style="none"/>
      <diagonal style="none"/>
    </border>
    <border>
      <left style="thin">
        <color indexed="65"/>
      </left>
      <right style="none"/>
      <top style="none"/>
      <bottom style="thin">
        <color indexed="65"/>
      </bottom>
      <diagonal style="none"/>
    </border>
    <border>
      <left style="none"/>
      <right style="none"/>
      <top style="thin">
        <color indexed="65"/>
      </top>
      <bottom style="thin">
        <color indexed="65"/>
      </bottom>
      <diagonal style="none"/>
    </border>
    <border>
      <left style="none"/>
      <right style="thin">
        <color indexed="65"/>
      </right>
      <top style="thin">
        <color indexed="65"/>
      </top>
      <bottom style="thin">
        <color indexed="65"/>
      </bottom>
      <diagonal style="none"/>
    </border>
    <border>
      <left style="thin">
        <color indexed="65"/>
      </left>
      <right style="none"/>
      <top style="none"/>
      <bottom style="none"/>
      <diagonal style="none"/>
    </border>
    <border>
      <left style="thin">
        <color indexed="65"/>
      </left>
      <right style="none"/>
      <top style="thin">
        <color indexed="65"/>
      </top>
      <bottom style="none"/>
      <diagonal style="none"/>
    </border>
    <border>
      <left style="thin">
        <color theme="0" tint="-0.14999847407452621"/>
      </left>
      <right style="thin">
        <color theme="0" tint="-0.14999847407452621"/>
      </right>
      <top style="thin">
        <color theme="0" tint="-0.14999847407452621"/>
      </top>
      <bottom style="thin">
        <color theme="0" tint="-0.14999847407452621"/>
      </bottom>
      <diagonal style="none"/>
    </border>
    <border>
      <left style="thin">
        <color rgb="FF999999"/>
      </left>
      <right style="thin">
        <color theme="1"/>
      </right>
      <top style="thin">
        <color rgb="FF999999"/>
      </top>
      <bottom style="thin">
        <color rgb="FF999999"/>
      </bottom>
      <diagonal style="none"/>
    </border>
    <border>
      <left style="thin">
        <color rgb="FFEEEEEE"/>
      </left>
      <right style="thin">
        <color rgb="FFEEEEEE"/>
      </right>
      <top style="thin">
        <color rgb="FFEEEEEE"/>
      </top>
      <bottom style="thin">
        <color rgb="FFEEEEEE"/>
      </bottom>
      <diagonal style="none"/>
    </border>
    <border>
      <left style="thin">
        <color rgb="FFCCCCCC"/>
      </left>
      <right style="thin">
        <color rgb="FFCCCCCC"/>
      </right>
      <top style="thin">
        <color rgb="FFCCCCCC"/>
      </top>
      <bottom style="thin">
        <color rgb="FFCCCCCC"/>
      </bottom>
      <diagonal style="none"/>
    </border>
    <border>
      <left style="thin">
        <color rgb="FFB2B2B2"/>
      </left>
      <right style="thin">
        <color rgb="FFB2B2B2"/>
      </right>
      <top style="thin">
        <color rgb="FFB2B2B2"/>
      </top>
      <bottom style="thin">
        <color rgb="FFB2B2B2"/>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172">
    <xf fontId="0" fillId="0" borderId="0" numFmtId="0" xfId="0" applyProtection="0">
      <protection hidden="0" locked="1"/>
    </xf>
    <xf fontId="0" fillId="0" borderId="0" numFmtId="0" xfId="0" applyProtection="1">
      <protection hidden="0" locked="1"/>
    </xf>
    <xf fontId="0" fillId="2" borderId="0" numFmtId="0" xfId="0" applyFill="1" applyProtection="0">
      <protection hidden="0" locked="1"/>
    </xf>
    <xf fontId="0" fillId="2" borderId="0" numFmtId="0" xfId="0" applyFill="1" applyProtection="1">
      <protection hidden="0" locked="1"/>
    </xf>
    <xf fontId="2" fillId="2" borderId="0" numFmtId="0" xfId="0" applyFont="1" applyFill="1" applyProtection="0">
      <protection hidden="0" locked="1"/>
    </xf>
    <xf fontId="2" fillId="2" borderId="0" numFmtId="0" xfId="0" applyFont="1" applyFill="1" applyProtection="1">
      <protection hidden="0" locked="1"/>
    </xf>
    <xf fontId="3" fillId="2" borderId="0" numFmtId="0" xfId="0" applyFont="1" applyFill="1" applyProtection="1">
      <protection hidden="0" locked="1"/>
    </xf>
    <xf fontId="4" fillId="2" borderId="0" numFmtId="0" xfId="0" applyFont="1" applyFill="1" applyProtection="1">
      <protection hidden="0" locked="1"/>
    </xf>
    <xf fontId="5" fillId="2" borderId="0" numFmtId="0" xfId="0" applyFont="1" applyFill="1" applyProtection="0">
      <protection hidden="0" locked="1"/>
    </xf>
    <xf fontId="5" fillId="2" borderId="0" numFmtId="0" xfId="0" applyFont="1" applyFill="1" applyProtection="1">
      <protection hidden="0" locked="1"/>
    </xf>
    <xf fontId="6" fillId="2" borderId="0" numFmtId="0" xfId="0" applyFont="1" applyFill="1" applyProtection="1">
      <protection hidden="0" locked="1"/>
    </xf>
    <xf fontId="7" fillId="2" borderId="0" numFmtId="0" xfId="0" applyFont="1" applyFill="1" applyProtection="1">
      <protection hidden="0" locked="1"/>
    </xf>
    <xf fontId="0" fillId="0" borderId="0" numFmtId="0" xfId="0" applyAlignment="1" applyProtection="0">
      <alignment vertical="center" wrapText="1"/>
      <protection hidden="0" locked="1"/>
    </xf>
    <xf fontId="0" fillId="0" borderId="0" numFmtId="0" xfId="0" applyAlignment="1" applyProtection="1">
      <alignment vertical="center" wrapText="1"/>
      <protection hidden="0" locked="1"/>
    </xf>
    <xf fontId="8" fillId="0" borderId="0" numFmtId="0" xfId="0" applyFont="1" applyAlignment="1" applyProtection="1">
      <alignment vertical="center" wrapText="1"/>
      <protection hidden="0" locked="1"/>
    </xf>
    <xf fontId="0" fillId="0" borderId="0" numFmtId="0" xfId="0" applyAlignment="1" applyProtection="0">
      <alignment vertical="center"/>
      <protection hidden="0" locked="1"/>
    </xf>
    <xf fontId="0" fillId="0" borderId="0" numFmtId="0" xfId="0" applyAlignment="1" applyProtection="1">
      <alignment vertical="center"/>
      <protection hidden="0" locked="1"/>
    </xf>
    <xf fontId="9" fillId="0" borderId="0" numFmtId="0" xfId="0" applyFont="1" applyAlignment="1" applyProtection="1">
      <alignment horizontal="left" vertical="center" wrapText="1"/>
      <protection hidden="0" locked="1"/>
    </xf>
    <xf fontId="0" fillId="0" borderId="1" numFmtId="0" xfId="0" applyBorder="1" applyProtection="0">
      <protection hidden="0" locked="1"/>
    </xf>
    <xf fontId="0" fillId="0" borderId="1" numFmtId="0" xfId="0" applyBorder="1" applyProtection="1">
      <protection hidden="0" locked="1"/>
    </xf>
    <xf fontId="0" fillId="0" borderId="0" numFmtId="0" xfId="0" applyAlignment="1" applyProtection="0">
      <alignment vertical="top"/>
      <protection hidden="0" locked="1"/>
    </xf>
    <xf fontId="0" fillId="0" borderId="0" numFmtId="0" xfId="0" applyAlignment="1" applyProtection="1">
      <alignment vertical="top"/>
      <protection hidden="0" locked="1"/>
    </xf>
    <xf fontId="10" fillId="0" borderId="0" numFmtId="0" xfId="0" applyFont="1" applyAlignment="1" applyProtection="1">
      <alignment vertical="top"/>
      <protection hidden="0" locked="1"/>
    </xf>
    <xf fontId="0" fillId="3" borderId="1" numFmtId="0" xfId="0" applyFill="1" applyBorder="1" applyProtection="0">
      <protection hidden="0" locked="1"/>
    </xf>
    <xf fontId="0" fillId="3" borderId="1" numFmtId="0" xfId="0" applyFill="1" applyBorder="1" applyProtection="1">
      <protection hidden="0" locked="1"/>
    </xf>
    <xf fontId="0" fillId="3" borderId="1" numFmtId="0" xfId="0" applyFill="1" applyBorder="1" applyAlignment="1" applyProtection="1">
      <alignment vertical="top" wrapText="1"/>
      <protection hidden="0" locked="1"/>
    </xf>
    <xf fontId="0" fillId="3" borderId="0" numFmtId="0" xfId="0" applyFill="1" applyProtection="0">
      <protection hidden="0" locked="1"/>
    </xf>
    <xf fontId="0" fillId="3" borderId="0" numFmtId="0" xfId="0" applyFill="1" applyProtection="1">
      <protection hidden="0" locked="1"/>
    </xf>
    <xf fontId="10" fillId="4" borderId="0" numFmtId="0" xfId="0" applyFont="1" applyFill="1" applyAlignment="1" applyProtection="1">
      <alignment vertical="top"/>
      <protection hidden="0" locked="1"/>
    </xf>
    <xf fontId="11" fillId="3" borderId="0" numFmtId="0" xfId="0" applyFont="1" applyFill="1" applyProtection="1">
      <protection hidden="0" locked="1"/>
    </xf>
    <xf fontId="0" fillId="3" borderId="0" numFmtId="0" xfId="0" applyFill="1" applyAlignment="1" applyProtection="1">
      <alignment vertical="center" wrapText="1"/>
      <protection hidden="0" locked="1"/>
    </xf>
    <xf fontId="12" fillId="3" borderId="0" numFmtId="0" xfId="0" applyFont="1" applyFill="1" applyAlignment="1" applyProtection="1">
      <alignment vertical="center" wrapText="1"/>
      <protection hidden="0" locked="1"/>
    </xf>
    <xf fontId="9" fillId="3" borderId="0" numFmtId="0" xfId="0" applyFont="1" applyFill="1" applyAlignment="1" applyProtection="1">
      <alignment horizontal="left" vertical="center" wrapText="1"/>
      <protection hidden="0" locked="1"/>
    </xf>
    <xf fontId="0" fillId="3" borderId="2" numFmtId="0" xfId="0" applyFill="1" applyBorder="1" applyProtection="0">
      <protection hidden="0" locked="1"/>
    </xf>
    <xf fontId="0" fillId="3" borderId="2" numFmtId="0" xfId="0" applyFill="1" applyBorder="1" applyProtection="1">
      <protection hidden="0" locked="1"/>
    </xf>
    <xf fontId="13" fillId="3" borderId="2" numFmtId="0" xfId="0" applyFont="1" applyFill="1" applyBorder="1" applyProtection="1">
      <protection hidden="0" locked="1"/>
    </xf>
    <xf fontId="14" fillId="0" borderId="0" numFmtId="0" xfId="0" applyFont="1" applyAlignment="1" applyProtection="1">
      <alignment horizontal="left" wrapText="1"/>
      <protection hidden="0" locked="1"/>
    </xf>
    <xf fontId="14" fillId="0" borderId="0" numFmtId="0" xfId="0" applyFont="1" applyProtection="1">
      <protection hidden="0" locked="1"/>
    </xf>
    <xf fontId="14" fillId="0" borderId="0" numFmtId="0" xfId="0" applyFont="1" applyProtection="0">
      <protection hidden="0" locked="1"/>
    </xf>
    <xf fontId="14" fillId="0" borderId="0" numFmtId="0" xfId="0" applyFont="1" applyAlignment="1" applyProtection="1">
      <alignment horizontal="left" vertical="center" wrapText="1"/>
      <protection hidden="0" locked="1"/>
    </xf>
    <xf fontId="0" fillId="0" borderId="0" numFmtId="0" xfId="0" applyAlignment="1" applyProtection="1">
      <alignment horizontal="left"/>
      <protection hidden="0" locked="1"/>
    </xf>
    <xf fontId="15" fillId="0" borderId="0" numFmtId="0" xfId="0" applyFont="1" applyAlignment="1" applyProtection="1">
      <alignment wrapText="1"/>
      <protection hidden="0" locked="1"/>
    </xf>
    <xf fontId="16" fillId="0" borderId="0" numFmtId="0" xfId="0" applyFont="1" applyAlignment="1" applyProtection="1">
      <alignment horizontal="left" vertical="center" wrapText="1"/>
      <protection hidden="0" locked="1"/>
    </xf>
    <xf fontId="0" fillId="0" borderId="0" numFmtId="0" xfId="0" applyProtection="0">
      <protection hidden="0" locked="1"/>
    </xf>
    <xf fontId="17" fillId="0" borderId="0" numFmtId="0" xfId="0" applyFont="1" applyProtection="0">
      <protection hidden="0" locked="1"/>
    </xf>
    <xf fontId="18" fillId="0" borderId="0" numFmtId="0" xfId="0" applyFont="1" applyAlignment="1" applyProtection="1">
      <alignment horizontal="left" indent="1" vertical="center"/>
      <protection hidden="0" locked="1"/>
    </xf>
    <xf fontId="9" fillId="0" borderId="0" numFmtId="0" xfId="0" applyFont="1" applyProtection="0">
      <protection hidden="0" locked="1"/>
    </xf>
    <xf fontId="19" fillId="0" borderId="0" numFmtId="0" xfId="0" applyFont="1" applyAlignment="1" applyProtection="1">
      <alignment horizontal="left" indent="1" vertical="center" wrapText="1"/>
      <protection hidden="0" locked="1"/>
    </xf>
    <xf fontId="19" fillId="0" borderId="0" numFmtId="0" xfId="0" applyFont="1" applyAlignment="1" applyProtection="1">
      <alignment horizontal="left" indent="1" vertical="center"/>
      <protection hidden="0" locked="1"/>
    </xf>
    <xf fontId="0" fillId="0" borderId="3" numFmtId="0" xfId="0" applyBorder="1" applyProtection="1">
      <protection hidden="0" locked="1"/>
    </xf>
    <xf fontId="9" fillId="0" borderId="4" numFmtId="0" xfId="0" applyFont="1" applyBorder="1" applyProtection="0">
      <protection hidden="0" locked="1"/>
    </xf>
    <xf fontId="20" fillId="5" borderId="4" numFmtId="0" xfId="0" applyFont="1" applyFill="1" applyBorder="1" applyAlignment="1" applyProtection="1">
      <alignment horizontal="center" vertical="center" wrapText="1"/>
      <protection hidden="0" locked="1"/>
    </xf>
    <xf fontId="20" fillId="5" borderId="5" numFmtId="0" xfId="0" applyFont="1" applyFill="1" applyBorder="1" applyAlignment="1" applyProtection="1">
      <alignment horizontal="center" vertical="center" wrapText="1"/>
      <protection hidden="0" locked="1"/>
    </xf>
    <xf fontId="20" fillId="5" borderId="6" numFmtId="0" xfId="0" applyFont="1" applyFill="1" applyBorder="1" applyAlignment="1" applyProtection="1">
      <alignment horizontal="center" vertical="center" wrapText="1"/>
      <protection hidden="0" locked="1"/>
    </xf>
    <xf fontId="21" fillId="6" borderId="0" numFmtId="0" xfId="0" applyFont="1" applyFill="1" applyAlignment="1" applyProtection="1">
      <alignment horizontal="center" textRotation="90" vertical="center" wrapText="1"/>
      <protection hidden="0" locked="1"/>
    </xf>
    <xf fontId="13" fillId="7" borderId="0" numFmtId="0" xfId="0" applyFont="1" applyFill="1" applyAlignment="1" applyProtection="1">
      <alignment horizontal="center" vertical="center" wrapText="1"/>
      <protection hidden="0" locked="1"/>
    </xf>
    <xf fontId="22" fillId="8" borderId="7" numFmtId="0" xfId="0" applyFont="1" applyFill="1" applyBorder="1" applyAlignment="1" applyProtection="1">
      <alignment horizontal="center" vertical="center"/>
      <protection hidden="0" locked="1"/>
    </xf>
    <xf fontId="23" fillId="7" borderId="0" numFmtId="0" xfId="0" applyFont="1" applyFill="1" applyAlignment="1" applyProtection="1">
      <alignment horizontal="center" vertical="center" wrapText="1"/>
      <protection hidden="0" locked="1"/>
    </xf>
    <xf fontId="24" fillId="9" borderId="7" numFmtId="0" xfId="0" applyFont="1" applyFill="1" applyBorder="1" applyAlignment="1" applyProtection="1">
      <alignment horizontal="left" indent="1" vertical="center" wrapText="1"/>
      <protection hidden="0" locked="1"/>
    </xf>
    <xf fontId="25" fillId="10" borderId="7" numFmtId="0" xfId="0" applyFont="1" applyFill="1" applyBorder="1" applyAlignment="1" applyProtection="1">
      <alignment horizontal="left" indent="1" vertical="center" wrapText="1"/>
      <protection hidden="0" locked="1"/>
    </xf>
    <xf fontId="12" fillId="7" borderId="8" numFmtId="0" xfId="0" applyFont="1" applyFill="1" applyBorder="1" applyAlignment="1" applyProtection="1">
      <alignment horizontal="center" vertical="center" wrapText="1"/>
      <protection hidden="0" locked="1"/>
    </xf>
    <xf fontId="26" fillId="7" borderId="8" numFmtId="0" xfId="0" applyFont="1" applyFill="1" applyBorder="1" applyAlignment="1" applyProtection="1">
      <alignment horizontal="center" vertical="center" wrapText="1"/>
      <protection hidden="0" locked="1"/>
    </xf>
    <xf fontId="13" fillId="7" borderId="8" numFmtId="0" xfId="0" applyFont="1" applyFill="1" applyBorder="1" applyAlignment="1" applyProtection="1">
      <alignment horizontal="center" vertical="center" wrapText="1"/>
      <protection hidden="0" locked="1"/>
    </xf>
    <xf fontId="22" fillId="8" borderId="7" numFmtId="0" xfId="0" applyFont="1" applyFill="1" applyBorder="1" applyAlignment="1" applyProtection="1">
      <alignment horizontal="left" indent="1" vertical="center"/>
      <protection hidden="0" locked="1"/>
    </xf>
    <xf fontId="23" fillId="7" borderId="8" numFmtId="0" xfId="0" applyFont="1" applyFill="1" applyBorder="1" applyAlignment="1" applyProtection="1">
      <alignment horizontal="center" vertical="center" wrapText="1"/>
      <protection hidden="0" locked="1"/>
    </xf>
    <xf fontId="21" fillId="11" borderId="8" numFmtId="0" xfId="0" applyFont="1" applyFill="1" applyBorder="1" applyAlignment="1" applyProtection="1">
      <alignment horizontal="center" textRotation="90" vertical="center" wrapText="1"/>
      <protection hidden="0" locked="1"/>
    </xf>
    <xf fontId="12" fillId="12" borderId="8" numFmtId="0" xfId="0" applyFont="1" applyFill="1" applyBorder="1" applyAlignment="1" applyProtection="1">
      <alignment horizontal="center" vertical="center" wrapText="1"/>
      <protection hidden="0" locked="1"/>
    </xf>
    <xf fontId="22" fillId="13" borderId="7" numFmtId="0" xfId="0" applyFont="1" applyFill="1" applyBorder="1" applyAlignment="1" applyProtection="1">
      <alignment horizontal="center" vertical="center"/>
      <protection hidden="0" locked="1"/>
    </xf>
    <xf fontId="26" fillId="12" borderId="8" numFmtId="0" xfId="0" applyFont="1" applyFill="1" applyBorder="1" applyAlignment="1" applyProtection="1">
      <alignment horizontal="center" vertical="center" wrapText="1"/>
      <protection hidden="0" locked="1"/>
    </xf>
    <xf fontId="27" fillId="14" borderId="8" numFmtId="0" xfId="0" applyFont="1" applyFill="1" applyBorder="1" applyAlignment="1" applyProtection="1">
      <alignment horizontal="center" textRotation="90" vertical="center" wrapText="1"/>
      <protection hidden="0" locked="1"/>
    </xf>
    <xf fontId="12" fillId="15" borderId="8" numFmtId="0" xfId="0" applyFont="1" applyFill="1" applyBorder="1" applyAlignment="1" applyProtection="1">
      <alignment horizontal="center" vertical="center" wrapText="1"/>
      <protection hidden="0" locked="1"/>
    </xf>
    <xf fontId="22" fillId="16" borderId="7" numFmtId="0" xfId="0" applyFont="1" applyFill="1" applyBorder="1" applyAlignment="1" applyProtection="1">
      <alignment horizontal="center" vertical="center"/>
      <protection hidden="0" locked="1"/>
    </xf>
    <xf fontId="26" fillId="15" borderId="8" numFmtId="0" xfId="0" applyFont="1" applyFill="1" applyBorder="1" applyAlignment="1" applyProtection="1">
      <alignment horizontal="center" vertical="center" wrapText="1"/>
      <protection hidden="0" locked="1"/>
    </xf>
    <xf fontId="28" fillId="0" borderId="0" numFmtId="0" xfId="0" applyFont="1" applyProtection="1">
      <protection hidden="0" locked="1"/>
    </xf>
    <xf fontId="19" fillId="0" borderId="0" numFmtId="0" xfId="0" applyFont="1" applyProtection="1">
      <protection hidden="0" locked="1"/>
    </xf>
    <xf fontId="20" fillId="5" borderId="7" numFmtId="0" xfId="0" applyFont="1" applyFill="1" applyBorder="1" applyAlignment="1" applyProtection="1">
      <alignment horizontal="center" vertical="center"/>
      <protection hidden="0" locked="1"/>
    </xf>
    <xf fontId="29" fillId="7" borderId="7" numFmtId="0" xfId="0" applyFont="1" applyFill="1" applyBorder="1" applyAlignment="1" applyProtection="1">
      <alignment horizontal="left" indent="1" vertical="center"/>
      <protection hidden="0" locked="1"/>
    </xf>
    <xf fontId="25" fillId="17" borderId="7" numFmtId="0" xfId="0" applyFont="1" applyFill="1" applyBorder="1" applyAlignment="1" applyProtection="1">
      <alignment horizontal="left" indent="1" vertical="center"/>
      <protection hidden="0" locked="1"/>
    </xf>
    <xf fontId="25" fillId="0" borderId="7" numFmtId="0" xfId="0" applyFont="1" applyBorder="1" applyAlignment="1" applyProtection="1">
      <alignment horizontal="left" indent="1" vertical="center" wrapText="1"/>
      <protection hidden="0" locked="1"/>
    </xf>
    <xf fontId="25" fillId="9" borderId="7" numFmtId="0" xfId="0" applyFont="1" applyFill="1" applyBorder="1" applyProtection="1">
      <protection hidden="0" locked="0"/>
    </xf>
    <xf fontId="25" fillId="0" borderId="7" numFmtId="0" xfId="0" applyFont="1" applyBorder="1" applyProtection="1">
      <protection hidden="0" locked="0"/>
    </xf>
    <xf fontId="29" fillId="7" borderId="9" numFmtId="0" xfId="0" applyFont="1" applyFill="1" applyBorder="1" applyAlignment="1" applyProtection="1">
      <alignment horizontal="left" indent="1" vertical="center"/>
      <protection hidden="0" locked="1"/>
    </xf>
    <xf fontId="25" fillId="17" borderId="9" numFmtId="0" xfId="0" applyFont="1" applyFill="1" applyBorder="1" applyAlignment="1" applyProtection="1">
      <alignment horizontal="left" indent="1" vertical="center"/>
      <protection hidden="0" locked="1"/>
    </xf>
    <xf fontId="25" fillId="0" borderId="9" numFmtId="0" xfId="0" applyFont="1" applyBorder="1" applyAlignment="1" applyProtection="1">
      <alignment horizontal="left" indent="1" vertical="center" wrapText="1"/>
      <protection hidden="0" locked="1"/>
    </xf>
    <xf fontId="25" fillId="9" borderId="9" numFmtId="0" xfId="0" applyFont="1" applyFill="1" applyBorder="1" applyProtection="1">
      <protection hidden="0" locked="0"/>
    </xf>
    <xf fontId="25" fillId="0" borderId="9" numFmtId="0" xfId="0" applyFont="1" applyBorder="1" applyProtection="1">
      <protection hidden="0" locked="0"/>
    </xf>
    <xf fontId="29" fillId="7" borderId="10" numFmtId="0" xfId="0" applyFont="1" applyFill="1" applyBorder="1" applyAlignment="1" applyProtection="1">
      <alignment horizontal="left" indent="1" vertical="center"/>
      <protection hidden="0" locked="1"/>
    </xf>
    <xf fontId="25" fillId="17" borderId="10" numFmtId="0" xfId="0" applyFont="1" applyFill="1" applyBorder="1" applyAlignment="1" applyProtection="1">
      <alignment horizontal="left" indent="1" vertical="center"/>
      <protection hidden="0" locked="1"/>
    </xf>
    <xf fontId="25" fillId="0" borderId="10" numFmtId="0" xfId="0" applyFont="1" applyBorder="1" applyAlignment="1" applyProtection="1">
      <alignment horizontal="left" indent="1" vertical="center" wrapText="1"/>
      <protection hidden="0" locked="1"/>
    </xf>
    <xf fontId="25" fillId="9" borderId="10" numFmtId="0" xfId="0" applyFont="1" applyFill="1" applyBorder="1" applyProtection="1">
      <protection hidden="0" locked="0"/>
    </xf>
    <xf fontId="25" fillId="0" borderId="10" numFmtId="0" xfId="0" applyFont="1" applyBorder="1" applyProtection="1">
      <protection hidden="0" locked="0"/>
    </xf>
    <xf fontId="29" fillId="12" borderId="10" numFmtId="0" xfId="0" applyFont="1" applyFill="1" applyBorder="1" applyAlignment="1" applyProtection="1">
      <alignment horizontal="left" indent="1" vertical="center"/>
      <protection hidden="0" locked="1"/>
    </xf>
    <xf fontId="29" fillId="12" borderId="11" numFmtId="0" xfId="0" applyFont="1" applyFill="1" applyBorder="1" applyAlignment="1" applyProtection="1">
      <alignment horizontal="left" indent="1" vertical="center"/>
      <protection hidden="0" locked="1"/>
    </xf>
    <xf fontId="25" fillId="17" borderId="11" numFmtId="0" xfId="0" applyFont="1" applyFill="1" applyBorder="1" applyAlignment="1" applyProtection="1">
      <alignment horizontal="left" indent="1" vertical="center"/>
      <protection hidden="0" locked="1"/>
    </xf>
    <xf fontId="25" fillId="0" borderId="11" numFmtId="0" xfId="0" applyFont="1" applyBorder="1" applyAlignment="1" applyProtection="1">
      <alignment horizontal="left" indent="1" vertical="center" wrapText="1"/>
      <protection hidden="0" locked="1"/>
    </xf>
    <xf fontId="25" fillId="9" borderId="11" numFmtId="0" xfId="0" applyFont="1" applyFill="1" applyBorder="1" applyProtection="1">
      <protection hidden="0" locked="0"/>
    </xf>
    <xf fontId="25" fillId="0" borderId="11" numFmtId="0" xfId="0" applyFont="1" applyBorder="1" applyProtection="1">
      <protection hidden="0" locked="0"/>
    </xf>
    <xf fontId="29" fillId="12" borderId="7" numFmtId="0" xfId="0" applyFont="1" applyFill="1" applyBorder="1" applyAlignment="1" applyProtection="1">
      <alignment horizontal="left" indent="1" vertical="center"/>
      <protection hidden="0" locked="1"/>
    </xf>
    <xf fontId="29" fillId="12" borderId="9" numFmtId="0" xfId="0" applyFont="1" applyFill="1" applyBorder="1" applyAlignment="1" applyProtection="1">
      <alignment horizontal="left" indent="1" vertical="center"/>
      <protection hidden="0" locked="1"/>
    </xf>
    <xf fontId="29" fillId="15" borderId="10" numFmtId="0" xfId="0" applyFont="1" applyFill="1" applyBorder="1" applyAlignment="1" applyProtection="1">
      <alignment horizontal="left" indent="1" vertical="center"/>
      <protection hidden="0" locked="1"/>
    </xf>
    <xf fontId="29" fillId="15" borderId="11" numFmtId="0" xfId="0" applyFont="1" applyFill="1" applyBorder="1" applyAlignment="1" applyProtection="1">
      <alignment horizontal="left" indent="1" vertical="center"/>
      <protection hidden="0" locked="1"/>
    </xf>
    <xf fontId="29" fillId="15" borderId="7" numFmtId="0" xfId="0" applyFont="1" applyFill="1" applyBorder="1" applyAlignment="1" applyProtection="1">
      <alignment horizontal="left" indent="1" vertical="center"/>
      <protection hidden="0" locked="1"/>
    </xf>
    <xf fontId="30" fillId="0" borderId="0" numFmtId="0" xfId="0" applyFont="1" applyProtection="1">
      <protection hidden="0" locked="1"/>
    </xf>
    <xf fontId="9" fillId="0" borderId="0" numFmtId="0" xfId="0" applyFont="1" applyProtection="1">
      <protection hidden="0" locked="1"/>
    </xf>
    <xf fontId="30" fillId="0" borderId="0" numFmtId="0" xfId="0" applyFont="1" applyAlignment="1" applyProtection="1">
      <alignment horizontal="left" indent="1"/>
      <protection hidden="0" locked="1"/>
    </xf>
    <xf fontId="28" fillId="0" borderId="0" numFmtId="0" xfId="0" applyFont="1" applyAlignment="1" applyProtection="1">
      <alignment horizontal="left" indent="1"/>
      <protection hidden="0" locked="1"/>
    </xf>
    <xf fontId="31" fillId="0" borderId="12" numFmtId="0" xfId="0" applyFont="1" applyBorder="1" applyAlignment="1" applyProtection="1">
      <alignment horizontal="left" indent="1"/>
      <protection hidden="0" locked="1"/>
    </xf>
    <xf fontId="31" fillId="0" borderId="3" numFmtId="0" xfId="0" applyFont="1" applyBorder="1" applyAlignment="1" applyProtection="1">
      <alignment horizontal="left" indent="1"/>
      <protection hidden="0" locked="1"/>
    </xf>
    <xf fontId="31" fillId="0" borderId="0" numFmtId="0" xfId="0" applyFont="1" applyAlignment="1" applyProtection="1">
      <alignment horizontal="left" indent="1"/>
      <protection hidden="0" locked="1"/>
    </xf>
    <xf fontId="31" fillId="0" borderId="13" numFmtId="0" xfId="0" applyFont="1" applyBorder="1" applyAlignment="1" applyProtection="1">
      <alignment horizontal="left" indent="1"/>
      <protection hidden="0" locked="1"/>
    </xf>
    <xf fontId="30" fillId="0" borderId="0" numFmtId="0" xfId="0" applyFont="1" applyAlignment="1" applyProtection="1">
      <alignment horizontal="left" indent="3"/>
      <protection hidden="0" locked="1"/>
    </xf>
    <xf fontId="19" fillId="0" borderId="14" numFmtId="0" xfId="0" applyFont="1" applyBorder="1" applyAlignment="1" applyProtection="1">
      <alignment horizontal="left" indent="1" vertical="center"/>
      <protection hidden="0" locked="1"/>
    </xf>
    <xf fontId="32" fillId="0" borderId="3" numFmtId="0" xfId="0" applyFont="1" applyBorder="1" applyAlignment="1" applyProtection="1">
      <alignment horizontal="left" indent="1" vertical="top"/>
      <protection hidden="0" locked="1"/>
    </xf>
    <xf fontId="32" fillId="0" borderId="15" numFmtId="0" xfId="0" applyFont="1" applyBorder="1" applyAlignment="1" applyProtection="1">
      <alignment horizontal="left" indent="1" vertical="top"/>
      <protection hidden="0" locked="1"/>
    </xf>
    <xf fontId="32" fillId="0" borderId="14" numFmtId="0" xfId="0" applyFont="1" applyBorder="1" applyAlignment="1" applyProtection="1">
      <alignment horizontal="left" indent="1" vertical="top"/>
      <protection hidden="0" locked="1"/>
    </xf>
    <xf fontId="32" fillId="0" borderId="16" numFmtId="0" xfId="0" applyFont="1" applyBorder="1" applyAlignment="1" applyProtection="1">
      <alignment horizontal="left" indent="1" vertical="top"/>
      <protection hidden="0" locked="1"/>
    </xf>
    <xf fontId="9" fillId="0" borderId="12" numFmtId="0" xfId="0" applyFont="1" applyBorder="1" applyProtection="1">
      <protection hidden="0" locked="1"/>
    </xf>
    <xf fontId="9" fillId="0" borderId="17" numFmtId="0" xfId="0" applyFont="1" applyBorder="1" applyProtection="1">
      <protection hidden="0" locked="1"/>
    </xf>
    <xf fontId="20" fillId="2" borderId="0" numFmtId="0" xfId="0" applyFont="1" applyFill="1" applyAlignment="1" applyProtection="1">
      <alignment horizontal="left" indent="1" vertical="center"/>
      <protection hidden="0" locked="1"/>
    </xf>
    <xf fontId="33" fillId="18" borderId="0" numFmtId="0" xfId="0" applyFont="1" applyFill="1" applyProtection="1">
      <protection hidden="0" locked="1"/>
    </xf>
    <xf fontId="24" fillId="18" borderId="18" numFmtId="0" xfId="0" applyFont="1" applyFill="1" applyBorder="1" applyAlignment="1" applyProtection="1">
      <alignment horizontal="center" vertical="center" wrapText="1"/>
      <protection hidden="0" locked="1"/>
    </xf>
    <xf fontId="33" fillId="0" borderId="0" numFmtId="0" xfId="0" applyFont="1" applyProtection="1">
      <protection hidden="0" locked="1"/>
    </xf>
    <xf fontId="30" fillId="0" borderId="2" numFmtId="0" xfId="0" applyFont="1" applyBorder="1" applyProtection="1">
      <protection hidden="0" locked="1"/>
    </xf>
    <xf fontId="25" fillId="0" borderId="18" numFmtId="0" xfId="0" applyFont="1" applyBorder="1" applyAlignment="1" applyProtection="1">
      <alignment horizontal="left" indent="1" vertical="center"/>
      <protection hidden="0" locked="1"/>
    </xf>
    <xf fontId="9" fillId="0" borderId="18" numFmtId="0" xfId="0" applyFont="1" applyBorder="1" applyAlignment="1" applyProtection="1">
      <alignment horizontal="center" vertical="center"/>
      <protection hidden="0" locked="1"/>
    </xf>
    <xf fontId="25" fillId="0" borderId="18" numFmtId="1" xfId="0" applyNumberFormat="1" applyFont="1" applyBorder="1" applyAlignment="1" applyProtection="1">
      <alignment horizontal="center" vertical="center"/>
      <protection hidden="0" locked="1"/>
    </xf>
    <xf fontId="25" fillId="0" borderId="18" numFmtId="9" xfId="0" applyNumberFormat="1" applyFont="1" applyBorder="1" applyAlignment="1" applyProtection="1">
      <alignment horizontal="center" vertical="center"/>
      <protection hidden="0" locked="1"/>
    </xf>
    <xf fontId="25" fillId="0" borderId="18" numFmtId="0" xfId="0" applyFont="1" applyBorder="1" applyAlignment="1" applyProtection="1">
      <alignment horizontal="center" vertical="center"/>
      <protection hidden="0" locked="1"/>
    </xf>
    <xf fontId="30" fillId="19" borderId="0" numFmtId="0" xfId="0" applyFont="1" applyFill="1" applyProtection="1">
      <protection hidden="0" locked="1"/>
    </xf>
    <xf fontId="29" fillId="7" borderId="18" numFmtId="0" xfId="0" applyFont="1" applyFill="1" applyBorder="1" applyAlignment="1" applyProtection="1">
      <alignment horizontal="left" indent="1" vertical="center"/>
      <protection hidden="0" locked="1"/>
    </xf>
    <xf fontId="29" fillId="12" borderId="18" numFmtId="0" xfId="0" applyFont="1" applyFill="1" applyBorder="1" applyAlignment="1" applyProtection="1">
      <alignment horizontal="left" indent="1" vertical="center"/>
      <protection hidden="0" locked="1"/>
    </xf>
    <xf fontId="29" fillId="15" borderId="18" numFmtId="0" xfId="0" applyFont="1" applyFill="1" applyBorder="1" applyAlignment="1" applyProtection="1">
      <alignment horizontal="left" indent="1" vertical="center"/>
      <protection hidden="0" locked="1"/>
    </xf>
    <xf fontId="24" fillId="0" borderId="18" numFmtId="0" xfId="0" applyFont="1" applyBorder="1" applyAlignment="1" applyProtection="1">
      <alignment horizontal="left" indent="1" vertical="center"/>
      <protection hidden="0" locked="1"/>
    </xf>
    <xf fontId="34" fillId="20" borderId="0" numFmtId="0" xfId="0" applyFont="1" applyFill="1" applyProtection="1">
      <protection hidden="0" locked="1"/>
    </xf>
    <xf fontId="35" fillId="20" borderId="18" numFmtId="0" xfId="0" applyFont="1" applyFill="1" applyBorder="1" applyAlignment="1" applyProtection="1">
      <alignment horizontal="left" indent="1" vertical="center"/>
      <protection hidden="0" locked="1"/>
    </xf>
    <xf fontId="34" fillId="0" borderId="0" numFmtId="0" xfId="0" applyFont="1" applyProtection="1">
      <protection hidden="0" locked="1"/>
    </xf>
    <xf fontId="24" fillId="21" borderId="18" numFmtId="0" xfId="0" applyFont="1" applyFill="1" applyBorder="1" applyAlignment="1" applyProtection="1">
      <alignment horizontal="center" vertical="center"/>
      <protection hidden="0" locked="1"/>
    </xf>
    <xf fontId="24" fillId="22" borderId="18" numFmtId="0" xfId="0" applyFont="1" applyFill="1" applyBorder="1" applyAlignment="1" applyProtection="1">
      <alignment horizontal="center" vertical="center"/>
      <protection hidden="0" locked="1"/>
    </xf>
    <xf fontId="24" fillId="23" borderId="18" numFmtId="0" xfId="0" applyFont="1" applyFill="1" applyBorder="1" applyAlignment="1" applyProtection="1">
      <alignment horizontal="center" vertical="center"/>
      <protection hidden="0" locked="1"/>
    </xf>
    <xf fontId="24" fillId="24" borderId="18" numFmtId="0" xfId="0" applyFont="1" applyFill="1" applyBorder="1" applyAlignment="1" applyProtection="1">
      <alignment horizontal="center" vertical="center"/>
      <protection hidden="0" locked="1"/>
    </xf>
    <xf fontId="36" fillId="0" borderId="0" numFmtId="0" xfId="0" applyFont="1" applyProtection="0">
      <protection hidden="0" locked="1"/>
    </xf>
    <xf fontId="19" fillId="0" borderId="0" numFmtId="0" xfId="0" applyFont="1" applyAlignment="1" applyProtection="1">
      <alignment horizontal="left" indent="1" wrapText="1"/>
      <protection hidden="0" locked="1"/>
    </xf>
    <xf fontId="9" fillId="0" borderId="0" numFmtId="0" xfId="0" applyFont="1" applyAlignment="1" applyProtection="1">
      <alignment horizontal="left" indent="1"/>
      <protection hidden="0" locked="1"/>
    </xf>
    <xf fontId="9" fillId="19" borderId="0" numFmtId="0" xfId="0" applyFont="1" applyFill="1" applyProtection="0">
      <protection hidden="0" locked="1"/>
    </xf>
    <xf fontId="20" fillId="5" borderId="7" numFmtId="0" xfId="0" applyFont="1" applyFill="1" applyBorder="1" applyAlignment="1" applyProtection="1">
      <alignment horizontal="left" indent="1" vertical="center" wrapText="1"/>
      <protection hidden="0" locked="1"/>
    </xf>
    <xf fontId="20" fillId="5" borderId="19" numFmtId="0" xfId="0" applyFont="1" applyFill="1" applyBorder="1" applyAlignment="1" applyProtection="1">
      <alignment horizontal="left" indent="1" vertical="center" wrapText="1"/>
      <protection hidden="0" locked="1"/>
    </xf>
    <xf fontId="25" fillId="7" borderId="6" numFmtId="0" xfId="0" applyFont="1" applyFill="1" applyBorder="1" applyAlignment="1" applyProtection="1">
      <alignment horizontal="left" indent="1" vertical="center" wrapText="1"/>
      <protection hidden="0" locked="1"/>
    </xf>
    <xf fontId="25" fillId="17" borderId="6" numFmtId="0" xfId="0" applyFont="1" applyFill="1" applyBorder="1" applyAlignment="1" applyProtection="1">
      <alignment horizontal="left" indent="1" vertical="center" wrapText="1"/>
      <protection hidden="0" locked="1"/>
    </xf>
    <xf fontId="25" fillId="0" borderId="6" numFmtId="0" xfId="0" applyFont="1" applyBorder="1" applyAlignment="1" applyProtection="1">
      <alignment horizontal="left" indent="1" vertical="center" wrapText="1"/>
      <protection hidden="0" locked="1"/>
    </xf>
    <xf fontId="0" fillId="0" borderId="16" numFmtId="0" xfId="0" applyBorder="1" applyProtection="0">
      <protection hidden="0" locked="1"/>
    </xf>
    <xf fontId="25" fillId="12" borderId="6" numFmtId="0" xfId="0" applyFont="1" applyFill="1" applyBorder="1" applyAlignment="1" applyProtection="1">
      <alignment horizontal="left" indent="1" vertical="center" wrapText="1"/>
      <protection hidden="0" locked="1"/>
    </xf>
    <xf fontId="25" fillId="15" borderId="6" numFmtId="0" xfId="0" applyFont="1" applyFill="1" applyBorder="1" applyAlignment="1" applyProtection="1">
      <alignment horizontal="left" indent="1" vertical="center" wrapText="1"/>
      <protection hidden="0" locked="1"/>
    </xf>
    <xf fontId="19" fillId="0" borderId="0" numFmtId="0" xfId="0" applyFont="1" applyAlignment="1" applyProtection="1">
      <alignment vertical="center" wrapText="1"/>
      <protection hidden="0" locked="1"/>
    </xf>
    <xf fontId="20" fillId="5" borderId="6" numFmtId="0" xfId="0" applyFont="1" applyFill="1" applyBorder="1" applyAlignment="1" applyProtection="1">
      <alignment horizontal="center" vertical="center"/>
      <protection hidden="0" locked="1"/>
    </xf>
    <xf fontId="26" fillId="6" borderId="20" numFmtId="0" xfId="0" applyFont="1" applyFill="1" applyBorder="1" applyAlignment="1" applyProtection="1">
      <alignment horizontal="left" indent="4" vertical="center"/>
      <protection hidden="0" locked="1"/>
    </xf>
    <xf fontId="37" fillId="7" borderId="20" numFmtId="0" xfId="0" applyFont="1" applyFill="1" applyBorder="1" applyAlignment="1" applyProtection="1">
      <alignment horizontal="left" indent="8" vertical="center"/>
      <protection hidden="0" locked="1"/>
    </xf>
    <xf fontId="37" fillId="7" borderId="20" numFmtId="0" xfId="0" applyFont="1" applyFill="1" applyBorder="1" applyAlignment="1" applyProtection="1">
      <alignment horizontal="center" vertical="center"/>
      <protection hidden="0" locked="1"/>
    </xf>
    <xf fontId="37" fillId="7" borderId="20" numFmtId="0" xfId="0" applyFont="1" applyFill="1" applyBorder="1" applyAlignment="1" applyProtection="1">
      <alignment horizontal="left" indent="9" vertical="center"/>
      <protection hidden="0" locked="1"/>
    </xf>
    <xf fontId="26" fillId="11" borderId="21" numFmtId="0" xfId="0" applyFont="1" applyFill="1" applyBorder="1" applyAlignment="1" applyProtection="1">
      <alignment horizontal="left" indent="4" vertical="center"/>
      <protection hidden="0" locked="1"/>
    </xf>
    <xf fontId="37" fillId="12" borderId="21" numFmtId="0" xfId="0" applyFont="1" applyFill="1" applyBorder="1" applyAlignment="1" applyProtection="1">
      <alignment horizontal="left" indent="8" vertical="center"/>
      <protection hidden="0" locked="1"/>
    </xf>
    <xf fontId="37" fillId="12" borderId="21" numFmtId="0" xfId="0" applyFont="1" applyFill="1" applyBorder="1" applyAlignment="1" applyProtection="1">
      <alignment horizontal="center" vertical="center"/>
      <protection hidden="0" locked="1"/>
    </xf>
    <xf fontId="37" fillId="12" borderId="21" numFmtId="0" xfId="0" applyFont="1" applyFill="1" applyBorder="1" applyAlignment="1" applyProtection="1">
      <alignment horizontal="left" indent="9" vertical="center"/>
      <protection hidden="0" locked="1"/>
    </xf>
    <xf fontId="26" fillId="14" borderId="22" numFmtId="0" xfId="0" applyFont="1" applyFill="1" applyBorder="1" applyAlignment="1" applyProtection="1">
      <alignment horizontal="left" indent="4" vertical="center"/>
      <protection hidden="0" locked="1"/>
    </xf>
    <xf fontId="37" fillId="15" borderId="22" numFmtId="0" xfId="0" applyFont="1" applyFill="1" applyBorder="1" applyAlignment="1" applyProtection="1">
      <alignment horizontal="left" indent="8" vertical="center"/>
      <protection hidden="0" locked="1"/>
    </xf>
    <xf fontId="37" fillId="15" borderId="22" numFmtId="0" xfId="0" applyFont="1" applyFill="1" applyBorder="1" applyAlignment="1" applyProtection="1">
      <alignment horizontal="center" vertical="center"/>
      <protection hidden="0" locked="1"/>
    </xf>
    <xf fontId="37" fillId="15" borderId="22" numFmtId="0" xfId="0" applyFont="1" applyFill="1" applyBorder="1" applyAlignment="1" applyProtection="1">
      <alignment horizontal="left" indent="9" vertical="center"/>
      <protection hidden="0" locked="1"/>
    </xf>
    <xf fontId="38" fillId="0" borderId="2" numFmtId="0" xfId="0" applyFont="1" applyBorder="1" applyAlignment="1" applyProtection="0">
      <alignment vertical="center"/>
      <protection hidden="0" locked="1"/>
    </xf>
    <xf fontId="12" fillId="0" borderId="2" numFmtId="0" xfId="0" applyFont="1" applyBorder="1" applyAlignment="1" applyProtection="1">
      <alignment horizontal="left" indent="1" vertical="center"/>
      <protection hidden="0" locked="1"/>
    </xf>
    <xf fontId="38" fillId="0" borderId="2" numFmtId="0" xfId="0" applyFont="1" applyBorder="1" applyAlignment="1" applyProtection="1">
      <alignment horizontal="left" indent="1" vertical="center"/>
      <protection hidden="0" locked="1"/>
    </xf>
    <xf fontId="38" fillId="0" borderId="0" numFmtId="0" xfId="0" applyFont="1" applyAlignment="1" applyProtection="1">
      <alignment horizontal="left" indent="1" wrapText="1"/>
      <protection hidden="0" locked="1"/>
    </xf>
    <xf fontId="12" fillId="0" borderId="0" numFmtId="0" xfId="0" applyFont="1" applyAlignment="1" applyProtection="1">
      <alignment horizontal="left" indent="1" wrapText="1"/>
      <protection hidden="0" locked="1"/>
    </xf>
    <xf fontId="39" fillId="0" borderId="0" numFmtId="0" xfId="0" applyFont="1" applyAlignment="1" applyProtection="1">
      <alignment horizontal="left" indent="1"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3.png"/></Relationships>
</file>

<file path=xl/drawings/_rels/drawing3.xml.rels><?xml version="1.0" encoding="UTF-8" standalone="yes"?><Relationships xmlns="http://schemas.openxmlformats.org/package/2006/relationships"><Relationship Id="rId1" Type="http://schemas.openxmlformats.org/officeDocument/2006/relationships/image" Target="../media/image3.png"/></Relationships>
</file>

<file path=xl/drawings/_rels/drawing4.xml.rels><?xml version="1.0" encoding="UTF-8" standalone="yes"?><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304798</xdr:colOff>
      <xdr:row>31</xdr:row>
      <xdr:rowOff>95368</xdr:rowOff>
    </xdr:from>
    <xdr:to>
      <xdr:col>2</xdr:col>
      <xdr:colOff>143998</xdr:colOff>
      <xdr:row>33</xdr:row>
      <xdr:rowOff>168328</xdr:rowOff>
    </xdr:to>
    <xdr:pic>
      <xdr:nvPicPr>
        <xdr:cNvPr id="1" name=""/>
        <xdr:cNvPicPr/>
      </xdr:nvPicPr>
      <xdr:blipFill rotWithShape="1">
        <a:blip r:embed="rId1"/>
        <a:stretch/>
      </xdr:blipFill>
      <xdr:spPr bwMode="auto">
        <a:xfrm>
          <a:off x="304798" y="7762993"/>
          <a:ext cx="2050360" cy="453960"/>
        </a:xfrm>
        <a:prstGeom prst="rect">
          <a:avLst/>
        </a:prstGeom>
        <a:noFill/>
        <a:ln w="0">
          <a:noFill/>
        </a:ln>
      </xdr:spPr>
    </xdr:pic>
    <xdr:clientData/>
  </xdr:twoCellAnchor>
  <xdr:oneCellAnchor>
    <xdr:from>
      <xdr:col>0</xdr:col>
      <xdr:colOff>173639</xdr:colOff>
      <xdr:row>27</xdr:row>
      <xdr:rowOff>28573</xdr:rowOff>
    </xdr:from>
    <xdr:ext cx="1770127" cy="742947"/>
    <xdr:pic>
      <xdr:nvPicPr>
        <xdr:cNvPr id="78102670" name=""/>
        <xdr:cNvPicPr>
          <a:picLocks noChangeAspect="1"/>
        </xdr:cNvPicPr>
      </xdr:nvPicPr>
      <xdr:blipFill rotWithShape="1">
        <a:blip r:embed="rId2"/>
        <a:stretch/>
      </xdr:blipFill>
      <xdr:spPr bwMode="auto">
        <a:xfrm flipH="0" flipV="0">
          <a:off x="173639" y="6934197"/>
          <a:ext cx="1770127" cy="74294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2181224</xdr:colOff>
      <xdr:row>1</xdr:row>
      <xdr:rowOff>0</xdr:rowOff>
    </xdr:from>
    <xdr:ext cx="1441063" cy="604836"/>
    <xdr:pic>
      <xdr:nvPicPr>
        <xdr:cNvPr id="1182095127" name=""/>
        <xdr:cNvPicPr>
          <a:picLocks noChangeAspect="1"/>
        </xdr:cNvPicPr>
      </xdr:nvPicPr>
      <xdr:blipFill rotWithShape="1">
        <a:blip r:embed="rId1"/>
        <a:stretch/>
      </xdr:blipFill>
      <xdr:spPr bwMode="auto">
        <a:xfrm flipH="0" flipV="0">
          <a:off x="12992099" y="190499"/>
          <a:ext cx="1441063" cy="60483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2162174</xdr:colOff>
      <xdr:row>0</xdr:row>
      <xdr:rowOff>114299</xdr:rowOff>
    </xdr:from>
    <xdr:ext cx="1441063" cy="604836"/>
    <xdr:pic>
      <xdr:nvPicPr>
        <xdr:cNvPr id="1949612624" name=""/>
        <xdr:cNvPicPr>
          <a:picLocks noChangeAspect="1"/>
        </xdr:cNvPicPr>
      </xdr:nvPicPr>
      <xdr:blipFill rotWithShape="1">
        <a:blip r:embed="rId1"/>
        <a:stretch/>
      </xdr:blipFill>
      <xdr:spPr bwMode="auto">
        <a:xfrm flipH="0" flipV="0">
          <a:off x="12973049" y="114299"/>
          <a:ext cx="1441063" cy="6048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672906</xdr:colOff>
      <xdr:row>0</xdr:row>
      <xdr:rowOff>180974</xdr:rowOff>
    </xdr:from>
    <xdr:ext cx="1441063" cy="604836"/>
    <xdr:pic>
      <xdr:nvPicPr>
        <xdr:cNvPr id="159806814" name=""/>
        <xdr:cNvPicPr>
          <a:picLocks noChangeAspect="1"/>
        </xdr:cNvPicPr>
      </xdr:nvPicPr>
      <xdr:blipFill rotWithShape="1">
        <a:blip r:embed="rId1"/>
        <a:stretch/>
      </xdr:blipFill>
      <xdr:spPr bwMode="auto">
        <a:xfrm flipH="0" flipV="0">
          <a:off x="5883081" y="180974"/>
          <a:ext cx="1441063" cy="604835"/>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F6F262"/>
    <outlinePr applyStyles="0" summaryBelow="1" summaryRight="1" showOutlineSymbols="1"/>
    <pageSetUpPr autoPageBreaks="1" fitToPage="0"/>
  </sheetPr>
  <sheetViews>
    <sheetView showFormulas="0" showGridLines="0" showRowColHeaders="1" showZeros="1" rightToLeft="0" view="normal" zoomScale="100" workbookViewId="0">
      <selection activeCell="C6" activeCellId="0" sqref="C6"/>
    </sheetView>
  </sheetViews>
  <sheetFormatPr defaultColWidth="8.6796875" defaultRowHeight="15" customHeight="1"/>
  <cols>
    <col customWidth="1" min="1" max="1" style="1" width="4.5999999999999996"/>
    <col customWidth="1" min="2" max="2" style="1" width="28.640000000000001"/>
    <col customWidth="1" min="3" max="5" style="1" width="18"/>
    <col customWidth="1" min="6" max="6" style="1" width="14.619999999999999"/>
    <col customWidth="1" hidden="1" min="7" max="8" style="1" width="18"/>
  </cols>
  <sheetData>
    <row r="1" s="2" customFormat="1" ht="15" customHeight="1">
      <c r="A1" s="3"/>
      <c r="B1" s="3"/>
      <c r="C1" s="3"/>
      <c r="D1" s="3"/>
      <c r="E1" s="3"/>
      <c r="F1" s="3"/>
      <c r="G1" s="3"/>
      <c r="H1" s="3"/>
    </row>
    <row r="2" s="4" customFormat="1" ht="21.75">
      <c r="A2" s="5"/>
      <c r="B2" s="6" t="s">
        <v>0</v>
      </c>
      <c r="C2" s="7"/>
      <c r="D2" s="7"/>
      <c r="E2" s="5"/>
      <c r="F2" s="5"/>
      <c r="G2" s="5"/>
      <c r="H2" s="5"/>
    </row>
    <row r="3" s="8" customFormat="1" ht="15">
      <c r="A3" s="9"/>
      <c r="B3" s="10" t="s">
        <v>1</v>
      </c>
      <c r="C3" s="11"/>
      <c r="D3" s="11"/>
      <c r="E3" s="9"/>
      <c r="F3" s="9"/>
      <c r="G3" s="9"/>
      <c r="H3" s="9"/>
    </row>
    <row r="4" s="2" customFormat="1" ht="15" customHeight="1">
      <c r="A4" s="3"/>
      <c r="B4" s="3"/>
      <c r="C4" s="3"/>
      <c r="D4" s="3"/>
      <c r="E4" s="3"/>
      <c r="F4" s="3"/>
      <c r="G4" s="3"/>
      <c r="H4" s="3"/>
    </row>
    <row r="6" s="12" customFormat="1" ht="20.449999999999999" customHeight="1">
      <c r="A6" s="13"/>
      <c r="B6" s="14" t="s">
        <v>2</v>
      </c>
      <c r="C6" s="13"/>
      <c r="D6" s="13"/>
      <c r="E6" s="13"/>
      <c r="F6" s="13"/>
      <c r="G6" s="13"/>
      <c r="H6" s="13"/>
    </row>
    <row r="7" s="15" customFormat="1" ht="52.850000000000001" customHeight="1">
      <c r="A7" s="16"/>
      <c r="B7" s="17" t="s">
        <v>3</v>
      </c>
      <c r="C7" s="17"/>
      <c r="D7" s="17"/>
      <c r="E7" s="17"/>
      <c r="F7" s="17"/>
      <c r="G7" s="17"/>
      <c r="H7" s="17"/>
      <c r="I7" s="17"/>
      <c r="J7" s="17"/>
      <c r="K7" s="17"/>
      <c r="L7" s="17"/>
      <c r="M7" s="17"/>
      <c r="N7" s="17"/>
      <c r="O7" s="17"/>
      <c r="P7" s="17"/>
      <c r="Q7" s="17"/>
      <c r="R7" s="17"/>
    </row>
    <row r="8" s="15" customFormat="1" ht="13.85" customHeight="1">
      <c r="A8" s="16"/>
      <c r="B8" s="17"/>
      <c r="C8" s="17"/>
      <c r="D8" s="17"/>
      <c r="E8" s="17"/>
      <c r="F8" s="17"/>
      <c r="G8" s="17"/>
      <c r="H8" s="17"/>
      <c r="I8" s="17"/>
    </row>
    <row r="9" s="18" customFormat="1" ht="12.5" customHeight="1">
      <c r="A9" s="19"/>
      <c r="B9" s="19"/>
      <c r="C9" s="19"/>
      <c r="D9" s="19"/>
      <c r="E9" s="19"/>
      <c r="F9" s="19"/>
      <c r="G9" s="19"/>
      <c r="H9" s="19"/>
    </row>
    <row r="10" s="20" customFormat="1" ht="18.75" customHeight="1">
      <c r="A10" s="21"/>
      <c r="B10" s="22" t="s">
        <v>4</v>
      </c>
      <c r="C10" s="21"/>
      <c r="D10" s="21"/>
      <c r="E10" s="21"/>
      <c r="F10" s="21"/>
      <c r="G10" s="21"/>
      <c r="H10" s="21"/>
    </row>
    <row r="11" ht="42" customHeight="1">
      <c r="B11" s="17" t="s">
        <v>5</v>
      </c>
      <c r="C11" s="17"/>
      <c r="D11" s="17"/>
      <c r="E11" s="17"/>
      <c r="F11" s="17"/>
      <c r="G11" s="17"/>
      <c r="H11" s="17"/>
      <c r="I11" s="17"/>
      <c r="J11" s="17"/>
      <c r="K11" s="17"/>
      <c r="L11" s="17"/>
      <c r="M11" s="17"/>
      <c r="N11" s="17"/>
      <c r="O11" s="17"/>
      <c r="P11" s="17"/>
      <c r="Q11" s="17"/>
      <c r="R11" s="17"/>
    </row>
    <row r="12" ht="13.5" customHeight="1">
      <c r="B12" s="17"/>
      <c r="C12" s="17"/>
      <c r="D12" s="17"/>
      <c r="E12" s="17"/>
      <c r="F12" s="17"/>
      <c r="G12" s="17"/>
      <c r="H12" s="17"/>
      <c r="I12" s="17"/>
    </row>
    <row r="13" s="23" customFormat="1" ht="16.449999999999999" customHeight="1">
      <c r="A13" s="24"/>
      <c r="B13" s="25"/>
      <c r="C13" s="25"/>
      <c r="D13" s="25"/>
      <c r="E13" s="25"/>
      <c r="F13" s="25"/>
      <c r="G13" s="25"/>
      <c r="H13" s="25"/>
    </row>
    <row r="14" s="26" customFormat="1" ht="16.5">
      <c r="A14" s="27"/>
      <c r="B14" s="28" t="s">
        <v>6</v>
      </c>
      <c r="C14" s="27"/>
      <c r="D14" s="27"/>
      <c r="E14" s="27"/>
      <c r="F14" s="27"/>
      <c r="G14" s="27"/>
      <c r="H14" s="27"/>
      <c r="O14" s="26"/>
    </row>
    <row r="15" s="26" customFormat="1" ht="15">
      <c r="A15" s="27"/>
      <c r="B15" s="29"/>
      <c r="C15" s="27"/>
      <c r="D15" s="27"/>
      <c r="E15" s="27"/>
      <c r="F15" s="27"/>
      <c r="G15" s="27"/>
      <c r="H15" s="27"/>
    </row>
    <row r="16" s="26" customFormat="1" ht="18.149999999999999" customHeight="1">
      <c r="A16" s="30"/>
      <c r="B16" s="31" t="s">
        <v>7</v>
      </c>
      <c r="C16" s="32" t="s">
        <v>8</v>
      </c>
      <c r="D16" s="32"/>
      <c r="E16" s="32"/>
      <c r="F16" s="32"/>
      <c r="G16" s="32"/>
      <c r="H16" s="32"/>
      <c r="I16" s="32"/>
      <c r="O16" s="26"/>
    </row>
    <row r="17" s="26" customFormat="1" ht="18.149999999999999" customHeight="1">
      <c r="A17" s="30"/>
      <c r="B17" s="31" t="s">
        <v>9</v>
      </c>
      <c r="C17" s="32" t="s">
        <v>10</v>
      </c>
      <c r="D17" s="32"/>
      <c r="E17" s="32"/>
      <c r="F17" s="32"/>
      <c r="G17" s="32"/>
      <c r="H17" s="32"/>
      <c r="I17" s="32"/>
    </row>
    <row r="18" s="26" customFormat="1" ht="18.149999999999999" customHeight="1">
      <c r="A18" s="30"/>
      <c r="B18" s="31" t="s">
        <v>11</v>
      </c>
      <c r="C18" s="32" t="s">
        <v>12</v>
      </c>
      <c r="D18" s="32"/>
      <c r="E18" s="32"/>
      <c r="F18" s="32"/>
      <c r="G18" s="32"/>
      <c r="H18" s="32"/>
      <c r="I18" s="32"/>
    </row>
    <row r="19" s="26" customFormat="1" ht="18.149999999999999" customHeight="1">
      <c r="A19" s="30"/>
      <c r="B19" s="31" t="s">
        <v>13</v>
      </c>
      <c r="C19" s="32" t="s">
        <v>14</v>
      </c>
      <c r="D19" s="32"/>
      <c r="E19" s="32"/>
      <c r="F19" s="32"/>
      <c r="G19" s="32"/>
      <c r="H19" s="32"/>
      <c r="I19" s="32"/>
    </row>
    <row r="20" s="26" customFormat="1" ht="18.149999999999999" customHeight="1">
      <c r="A20" s="30"/>
      <c r="B20" s="31" t="s">
        <v>15</v>
      </c>
      <c r="C20" s="32" t="s">
        <v>16</v>
      </c>
      <c r="D20" s="32"/>
      <c r="E20" s="32"/>
      <c r="F20" s="32"/>
      <c r="G20" s="32"/>
      <c r="H20" s="32"/>
      <c r="I20" s="32"/>
    </row>
    <row r="21" s="26" customFormat="1" ht="18.149999999999999" customHeight="1">
      <c r="A21" s="30"/>
      <c r="B21" s="31" t="s">
        <v>17</v>
      </c>
      <c r="C21" s="32" t="s">
        <v>18</v>
      </c>
      <c r="D21" s="32"/>
      <c r="E21" s="32"/>
      <c r="F21" s="32"/>
      <c r="G21" s="32"/>
      <c r="H21" s="32"/>
      <c r="I21" s="32"/>
    </row>
    <row r="22" s="33" customFormat="1" ht="15">
      <c r="A22" s="34"/>
      <c r="B22" s="35"/>
      <c r="C22" s="34"/>
      <c r="D22" s="34"/>
      <c r="E22" s="34"/>
      <c r="F22" s="34"/>
      <c r="G22" s="34"/>
      <c r="H22" s="34"/>
    </row>
    <row r="24" ht="15" customHeight="1">
      <c r="B24" s="36" t="s">
        <v>19</v>
      </c>
      <c r="C24" s="36"/>
      <c r="D24" s="36"/>
      <c r="E24" s="36"/>
      <c r="F24" s="36"/>
      <c r="G24" s="36"/>
      <c r="H24" s="36"/>
      <c r="I24" s="36"/>
    </row>
    <row r="25" ht="15" customHeight="1">
      <c r="B25" s="37" t="s">
        <v>20</v>
      </c>
      <c r="C25" s="37"/>
      <c r="D25" s="37"/>
      <c r="E25" s="37"/>
      <c r="F25" s="37"/>
      <c r="G25" s="37"/>
      <c r="H25" s="37"/>
      <c r="I25" s="38"/>
    </row>
    <row r="26" ht="15" customHeight="1">
      <c r="B26" s="39" t="s">
        <v>21</v>
      </c>
      <c r="C26" s="39"/>
      <c r="D26" s="39"/>
      <c r="E26" s="39"/>
      <c r="F26" s="39"/>
      <c r="G26" s="39"/>
      <c r="H26" s="39"/>
      <c r="I26" s="39"/>
      <c r="J26" s="39"/>
      <c r="K26" s="39"/>
      <c r="L26" s="39"/>
      <c r="M26" s="39"/>
      <c r="N26" s="39"/>
      <c r="O26" s="39"/>
      <c r="P26" s="39"/>
      <c r="Q26" s="39"/>
      <c r="R26" s="39"/>
    </row>
    <row r="27" ht="15" customHeight="1">
      <c r="B27" s="39"/>
      <c r="C27" s="39"/>
      <c r="D27" s="39"/>
      <c r="E27" s="39"/>
      <c r="F27" s="39"/>
      <c r="G27" s="39"/>
      <c r="H27" s="39"/>
      <c r="I27" s="39"/>
      <c r="J27" s="39"/>
      <c r="K27" s="39"/>
      <c r="L27" s="39"/>
      <c r="M27" s="39"/>
      <c r="N27" s="39"/>
      <c r="O27" s="39"/>
      <c r="P27" s="39"/>
      <c r="Q27" s="39"/>
      <c r="R27" s="39"/>
    </row>
    <row r="28" ht="15" customHeight="1">
      <c r="B28" s="39"/>
      <c r="C28" s="39"/>
      <c r="D28" s="39"/>
      <c r="E28" s="39"/>
      <c r="F28" s="39"/>
      <c r="G28" s="39"/>
      <c r="H28" s="39"/>
      <c r="I28" s="39"/>
    </row>
    <row r="29" ht="15" customHeight="1">
      <c r="B29" s="39"/>
      <c r="C29" s="39"/>
      <c r="D29" s="39"/>
      <c r="E29" s="39"/>
      <c r="F29" s="39"/>
      <c r="G29" s="39"/>
      <c r="H29" s="39"/>
      <c r="I29" s="39"/>
    </row>
    <row r="30" ht="15" customHeight="1">
      <c r="B30" s="37"/>
      <c r="C30" s="37"/>
      <c r="D30" s="37"/>
      <c r="E30" s="37"/>
      <c r="F30" s="37"/>
      <c r="G30" s="37"/>
      <c r="H30" s="37"/>
      <c r="I30" s="38"/>
    </row>
    <row r="31" ht="15" customHeight="1">
      <c r="B31" s="37"/>
      <c r="C31" s="37"/>
      <c r="D31" s="37"/>
      <c r="E31" s="37"/>
      <c r="F31" s="37"/>
      <c r="G31" s="37"/>
      <c r="H31" s="37"/>
      <c r="I31" s="38"/>
    </row>
    <row r="32" ht="15" customHeight="1">
      <c r="B32" s="40"/>
    </row>
    <row r="33" ht="15" customHeight="1">
      <c r="B33" s="40"/>
    </row>
    <row r="34" ht="15" customHeight="1">
      <c r="B34" s="41"/>
    </row>
    <row r="35" ht="15" customHeight="1">
      <c r="B35" s="42" t="s">
        <v>22</v>
      </c>
      <c r="C35" s="42"/>
      <c r="D35" s="42"/>
      <c r="E35" s="42"/>
      <c r="F35" s="42"/>
      <c r="G35" s="42"/>
      <c r="H35" s="42"/>
    </row>
    <row r="36" ht="15" customHeight="1">
      <c r="B36" s="42"/>
      <c r="C36" s="42"/>
      <c r="D36" s="42"/>
      <c r="E36" s="42"/>
      <c r="F36" s="42"/>
      <c r="G36" s="42"/>
      <c r="H36" s="42"/>
    </row>
    <row r="37" ht="15" customHeight="1">
      <c r="B37" s="42"/>
      <c r="C37" s="42"/>
      <c r="D37" s="42"/>
      <c r="E37" s="42"/>
      <c r="F37" s="42"/>
      <c r="G37" s="42"/>
      <c r="H37" s="42"/>
    </row>
  </sheetData>
  <sheetProtection algorithmName="SHA-512" hashValue="qJoqG80UOpYlak0bYEB3yDST/N1DG+MAzuSFcFBu4JkY+mUitZlvepACDQ+XPzfPhzatkoc63x6coCjKn0+XuA==" saltValue="MS6L5NcZv5fhD8zsA69omQ==" spinCount="100000" autoFilter="1" deleteColumns="1" deleteRows="1" formatCells="1" formatColumns="1" formatRows="1" insertColumns="1" insertHyperlinks="1" insertRows="1" objects="1" pivotTables="1" scenarios="1" selectLockedCells="0" selectUnlockedCells="0" sheet="1" sort="1"/>
  <mergeCells count="11">
    <mergeCell ref="B7:R7"/>
    <mergeCell ref="B11:R11"/>
    <mergeCell ref="C16:I16"/>
    <mergeCell ref="C17:I17"/>
    <mergeCell ref="C18:I18"/>
    <mergeCell ref="C19:I19"/>
    <mergeCell ref="C20:I20"/>
    <mergeCell ref="C21:I21"/>
    <mergeCell ref="B24:I24"/>
    <mergeCell ref="B26:R27"/>
    <mergeCell ref="B35:H37"/>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17CF8"/>
    <outlinePr applyStyles="0" summaryBelow="1" summaryRight="1" showOutlineSymbols="1"/>
    <pageSetUpPr autoPageBreaks="1" fitToPage="1"/>
  </sheetPr>
  <sheetViews>
    <sheetView showFormulas="0" showGridLines="0" showRowColHeaders="1" showZeros="1" rightToLeft="0" view="normal" zoomScale="100" workbookViewId="0">
      <pane xSplit="2" ySplit="4" topLeftCell="C5" activePane="bottomRight" state="frozen"/>
      <selection activeCell="C44" activeCellId="0" sqref="C44"/>
    </sheetView>
  </sheetViews>
  <sheetFormatPr defaultColWidth="8.6796875" defaultRowHeight="15" customHeight="1"/>
  <cols>
    <col customWidth="1" min="1" max="1" style="1" width="18.140000000000001"/>
    <col customWidth="1" min="2" max="2" style="1" width="30.050000000000001"/>
    <col customWidth="1" min="3" max="8" style="1" width="38"/>
  </cols>
  <sheetData>
    <row r="1" ht="15">
      <c r="A1"/>
      <c r="B1" s="43"/>
      <c r="C1" s="43"/>
      <c r="D1"/>
      <c r="E1"/>
      <c r="F1"/>
      <c r="G1"/>
      <c r="H1"/>
    </row>
    <row r="2" s="44" customFormat="1" ht="27" customHeight="1">
      <c r="A2" s="45" t="s">
        <v>23</v>
      </c>
      <c r="B2" s="45"/>
      <c r="C2" s="45"/>
      <c r="D2" s="45"/>
      <c r="E2" s="45"/>
      <c r="F2" s="45"/>
      <c r="G2" s="45"/>
      <c r="H2" s="45"/>
    </row>
    <row r="3" s="46" customFormat="1" ht="18" customHeight="1">
      <c r="A3" s="47" t="s">
        <v>24</v>
      </c>
      <c r="B3" s="48"/>
      <c r="C3" s="48"/>
      <c r="D3" s="48"/>
      <c r="E3" s="48"/>
      <c r="F3" s="48"/>
      <c r="G3" s="48"/>
      <c r="H3" s="48"/>
    </row>
    <row r="4" ht="15" customHeight="1">
      <c r="C4" s="49"/>
    </row>
    <row r="5" s="50" customFormat="1" ht="37.5" customHeight="1">
      <c r="A5" s="51" t="s">
        <v>25</v>
      </c>
      <c r="B5" s="51" t="s">
        <v>26</v>
      </c>
      <c r="C5" s="52" t="s">
        <v>27</v>
      </c>
      <c r="D5" s="53" t="s">
        <v>28</v>
      </c>
      <c r="E5" s="53" t="s">
        <v>29</v>
      </c>
      <c r="F5" s="53" t="s">
        <v>30</v>
      </c>
      <c r="G5" s="53" t="s">
        <v>31</v>
      </c>
      <c r="H5" s="53" t="s">
        <v>32</v>
      </c>
    </row>
    <row r="6" ht="18" customHeight="1">
      <c r="A6" s="54" t="s">
        <v>33</v>
      </c>
      <c r="B6" s="55" t="s">
        <v>34</v>
      </c>
      <c r="C6" s="56" t="s">
        <v>35</v>
      </c>
      <c r="D6" s="56" t="s">
        <v>35</v>
      </c>
      <c r="E6" s="56" t="s">
        <v>35</v>
      </c>
      <c r="F6" s="56" t="s">
        <v>35</v>
      </c>
      <c r="G6" s="56" t="s">
        <v>35</v>
      </c>
      <c r="H6" s="56" t="s">
        <v>35</v>
      </c>
    </row>
    <row r="7" ht="60" customHeight="1">
      <c r="A7" s="54"/>
      <c r="B7" s="57"/>
      <c r="C7" s="58" t="s">
        <v>36</v>
      </c>
      <c r="D7" s="58" t="s">
        <v>37</v>
      </c>
      <c r="E7" s="58" t="s">
        <v>38</v>
      </c>
      <c r="F7" s="58" t="s">
        <v>39</v>
      </c>
      <c r="G7" s="58" t="s">
        <v>40</v>
      </c>
      <c r="H7" s="58" t="s">
        <v>41</v>
      </c>
    </row>
    <row r="8" ht="60" customHeight="1">
      <c r="A8" s="54"/>
      <c r="B8" s="57"/>
      <c r="C8" s="59" t="s">
        <v>42</v>
      </c>
      <c r="D8" s="59" t="s">
        <v>43</v>
      </c>
      <c r="E8" s="59" t="s">
        <v>44</v>
      </c>
      <c r="F8" s="59" t="s">
        <v>45</v>
      </c>
      <c r="G8" s="59" t="s">
        <v>46</v>
      </c>
      <c r="H8" s="59" t="s">
        <v>47</v>
      </c>
    </row>
    <row r="9" ht="60" customHeight="1">
      <c r="A9" s="54"/>
      <c r="B9" s="57"/>
      <c r="C9" s="59" t="s">
        <v>48</v>
      </c>
      <c r="D9" s="59" t="s">
        <v>49</v>
      </c>
      <c r="E9" s="59" t="s">
        <v>50</v>
      </c>
      <c r="F9" s="59" t="s">
        <v>51</v>
      </c>
      <c r="G9" s="59" t="s">
        <v>52</v>
      </c>
      <c r="H9" s="59" t="s">
        <v>53</v>
      </c>
    </row>
    <row r="10" ht="60" customHeight="1">
      <c r="A10" s="54"/>
      <c r="B10" s="57"/>
      <c r="C10" s="59" t="s">
        <v>54</v>
      </c>
      <c r="D10" s="59" t="s">
        <v>55</v>
      </c>
      <c r="E10" s="59" t="s">
        <v>56</v>
      </c>
      <c r="F10" s="59" t="s">
        <v>57</v>
      </c>
      <c r="G10" s="59" t="s">
        <v>58</v>
      </c>
      <c r="H10" s="59" t="s">
        <v>59</v>
      </c>
    </row>
    <row r="11" ht="18" customHeight="1">
      <c r="A11" s="54"/>
      <c r="B11" s="60" t="s">
        <v>60</v>
      </c>
      <c r="C11" s="56" t="s">
        <v>35</v>
      </c>
      <c r="D11" s="56" t="s">
        <v>35</v>
      </c>
      <c r="E11" s="56" t="s">
        <v>35</v>
      </c>
      <c r="F11" s="56" t="s">
        <v>35</v>
      </c>
      <c r="G11" s="56" t="s">
        <v>35</v>
      </c>
      <c r="H11" s="56" t="s">
        <v>35</v>
      </c>
    </row>
    <row r="12" ht="60" customHeight="1">
      <c r="A12" s="54"/>
      <c r="B12" s="61"/>
      <c r="C12" s="58" t="s">
        <v>61</v>
      </c>
      <c r="D12" s="58" t="s">
        <v>62</v>
      </c>
      <c r="E12" s="58" t="s">
        <v>63</v>
      </c>
      <c r="F12" s="58" t="s">
        <v>64</v>
      </c>
      <c r="G12" s="58" t="s">
        <v>65</v>
      </c>
      <c r="H12" s="58" t="s">
        <v>66</v>
      </c>
    </row>
    <row r="13" ht="60" customHeight="1">
      <c r="A13" s="54"/>
      <c r="B13" s="61"/>
      <c r="C13" s="59" t="s">
        <v>67</v>
      </c>
      <c r="D13" s="59" t="s">
        <v>68</v>
      </c>
      <c r="E13" s="59" t="s">
        <v>69</v>
      </c>
      <c r="F13" s="59" t="s">
        <v>70</v>
      </c>
      <c r="G13" s="59" t="s">
        <v>71</v>
      </c>
      <c r="H13" s="59" t="s">
        <v>72</v>
      </c>
    </row>
    <row r="14" ht="60" customHeight="1">
      <c r="A14" s="54"/>
      <c r="B14" s="61"/>
      <c r="C14" s="59" t="s">
        <v>73</v>
      </c>
      <c r="D14" s="59" t="s">
        <v>74</v>
      </c>
      <c r="E14" s="59" t="s">
        <v>75</v>
      </c>
      <c r="F14" s="59" t="s">
        <v>76</v>
      </c>
      <c r="G14" s="59" t="s">
        <v>77</v>
      </c>
      <c r="H14" s="59" t="s">
        <v>78</v>
      </c>
    </row>
    <row r="15" ht="60" customHeight="1">
      <c r="A15" s="54"/>
      <c r="B15" s="61"/>
      <c r="C15" s="59" t="s">
        <v>79</v>
      </c>
      <c r="D15" s="59" t="s">
        <v>80</v>
      </c>
      <c r="E15" s="59" t="s">
        <v>81</v>
      </c>
      <c r="F15" s="59" t="s">
        <v>82</v>
      </c>
      <c r="G15" s="59" t="s">
        <v>83</v>
      </c>
      <c r="H15" s="59" t="s">
        <v>84</v>
      </c>
    </row>
    <row r="16" ht="18" customHeight="1">
      <c r="A16" s="54"/>
      <c r="B16" s="62" t="s">
        <v>85</v>
      </c>
      <c r="C16" s="63" t="s">
        <v>35</v>
      </c>
      <c r="D16" s="63" t="s">
        <v>35</v>
      </c>
      <c r="E16" s="63" t="s">
        <v>35</v>
      </c>
      <c r="F16" s="63" t="s">
        <v>35</v>
      </c>
      <c r="G16" s="63" t="s">
        <v>35</v>
      </c>
      <c r="H16" s="63" t="s">
        <v>35</v>
      </c>
    </row>
    <row r="17" ht="60" customHeight="1">
      <c r="A17" s="54"/>
      <c r="B17" s="64"/>
      <c r="C17" s="58" t="s">
        <v>86</v>
      </c>
      <c r="D17" s="58" t="s">
        <v>87</v>
      </c>
      <c r="E17" s="58" t="s">
        <v>88</v>
      </c>
      <c r="F17" s="58" t="s">
        <v>89</v>
      </c>
      <c r="G17" s="58" t="s">
        <v>90</v>
      </c>
      <c r="H17" s="58" t="s">
        <v>91</v>
      </c>
    </row>
    <row r="18" ht="60" customHeight="1">
      <c r="A18" s="54"/>
      <c r="B18" s="64"/>
      <c r="C18" s="59" t="s">
        <v>92</v>
      </c>
      <c r="D18" s="59" t="s">
        <v>93</v>
      </c>
      <c r="E18" s="59" t="s">
        <v>94</v>
      </c>
      <c r="F18" s="59" t="s">
        <v>95</v>
      </c>
      <c r="G18" s="59" t="s">
        <v>96</v>
      </c>
      <c r="H18" s="59" t="s">
        <v>97</v>
      </c>
    </row>
    <row r="19" ht="60" customHeight="1">
      <c r="A19" s="54"/>
      <c r="B19" s="64"/>
      <c r="C19" s="59" t="s">
        <v>98</v>
      </c>
      <c r="D19" s="59" t="s">
        <v>99</v>
      </c>
      <c r="E19" s="59" t="s">
        <v>100</v>
      </c>
      <c r="F19" s="59" t="s">
        <v>101</v>
      </c>
      <c r="G19" s="59" t="s">
        <v>102</v>
      </c>
      <c r="H19" s="59" t="s">
        <v>103</v>
      </c>
    </row>
    <row r="20" ht="60" customHeight="1">
      <c r="A20" s="54"/>
      <c r="B20" s="64"/>
      <c r="C20" s="59" t="s">
        <v>104</v>
      </c>
      <c r="D20" s="59" t="s">
        <v>105</v>
      </c>
      <c r="E20" s="59" t="s">
        <v>106</v>
      </c>
      <c r="F20" s="59" t="s">
        <v>107</v>
      </c>
      <c r="G20" s="59" t="s">
        <v>108</v>
      </c>
      <c r="H20" s="59" t="s">
        <v>109</v>
      </c>
    </row>
    <row r="21" ht="18" customHeight="1">
      <c r="A21" s="54"/>
      <c r="B21" s="60" t="s">
        <v>110</v>
      </c>
      <c r="C21" s="56" t="s">
        <v>35</v>
      </c>
      <c r="D21" s="56" t="s">
        <v>35</v>
      </c>
      <c r="E21" s="56" t="s">
        <v>35</v>
      </c>
      <c r="F21" s="56" t="s">
        <v>35</v>
      </c>
      <c r="G21" s="56" t="s">
        <v>35</v>
      </c>
      <c r="H21" s="56" t="s">
        <v>35</v>
      </c>
    </row>
    <row r="22" ht="60" customHeight="1">
      <c r="A22" s="54"/>
      <c r="B22" s="61"/>
      <c r="C22" s="58" t="s">
        <v>111</v>
      </c>
      <c r="D22" s="58" t="s">
        <v>112</v>
      </c>
      <c r="E22" s="58" t="s">
        <v>113</v>
      </c>
      <c r="F22" s="58" t="s">
        <v>114</v>
      </c>
      <c r="G22" s="58" t="s">
        <v>115</v>
      </c>
      <c r="H22" s="58" t="s">
        <v>116</v>
      </c>
    </row>
    <row r="23" ht="60" customHeight="1">
      <c r="A23" s="54"/>
      <c r="B23" s="61"/>
      <c r="C23" s="59" t="s">
        <v>117</v>
      </c>
      <c r="D23" s="59" t="s">
        <v>118</v>
      </c>
      <c r="E23" s="59" t="s">
        <v>119</v>
      </c>
      <c r="F23" s="59" t="s">
        <v>120</v>
      </c>
      <c r="G23" s="59" t="s">
        <v>121</v>
      </c>
      <c r="H23" s="59" t="s">
        <v>122</v>
      </c>
    </row>
    <row r="24" ht="60" customHeight="1">
      <c r="A24" s="54"/>
      <c r="B24" s="61"/>
      <c r="C24" s="59" t="s">
        <v>123</v>
      </c>
      <c r="D24" s="59" t="s">
        <v>124</v>
      </c>
      <c r="E24" s="59" t="s">
        <v>125</v>
      </c>
      <c r="F24" s="59" t="s">
        <v>126</v>
      </c>
      <c r="G24" s="59" t="s">
        <v>127</v>
      </c>
      <c r="H24" s="59" t="s">
        <v>128</v>
      </c>
    </row>
    <row r="25" ht="60" customHeight="1">
      <c r="A25" s="54"/>
      <c r="B25" s="61"/>
      <c r="C25" s="59" t="s">
        <v>129</v>
      </c>
      <c r="D25" s="59" t="s">
        <v>130</v>
      </c>
      <c r="E25" s="59" t="s">
        <v>131</v>
      </c>
      <c r="F25" s="59" t="s">
        <v>132</v>
      </c>
      <c r="G25" s="59" t="s">
        <v>133</v>
      </c>
      <c r="H25" s="59" t="s">
        <v>134</v>
      </c>
    </row>
    <row r="26" ht="18" customHeight="1">
      <c r="A26" s="65" t="s">
        <v>135</v>
      </c>
      <c r="B26" s="66" t="s">
        <v>136</v>
      </c>
      <c r="C26" s="67" t="s">
        <v>35</v>
      </c>
      <c r="D26" s="67" t="s">
        <v>35</v>
      </c>
      <c r="E26" s="67" t="s">
        <v>35</v>
      </c>
      <c r="F26" s="67" t="s">
        <v>35</v>
      </c>
      <c r="G26" s="67" t="s">
        <v>35</v>
      </c>
      <c r="H26" s="67" t="s">
        <v>35</v>
      </c>
    </row>
    <row r="27" ht="60" customHeight="1">
      <c r="A27" s="65"/>
      <c r="B27" s="68"/>
      <c r="C27" s="58" t="s">
        <v>137</v>
      </c>
      <c r="D27" s="58" t="s">
        <v>138</v>
      </c>
      <c r="E27" s="58" t="s">
        <v>139</v>
      </c>
      <c r="F27" s="58" t="s">
        <v>140</v>
      </c>
      <c r="G27" s="58" t="s">
        <v>141</v>
      </c>
      <c r="H27" s="58" t="s">
        <v>142</v>
      </c>
    </row>
    <row r="28" ht="60" customHeight="1">
      <c r="A28" s="65"/>
      <c r="B28" s="68"/>
      <c r="C28" s="59" t="s">
        <v>143</v>
      </c>
      <c r="D28" s="59" t="s">
        <v>144</v>
      </c>
      <c r="E28" s="59" t="s">
        <v>145</v>
      </c>
      <c r="F28" s="59" t="s">
        <v>146</v>
      </c>
      <c r="G28" s="59" t="s">
        <v>147</v>
      </c>
      <c r="H28" s="59" t="s">
        <v>148</v>
      </c>
    </row>
    <row r="29" ht="60" customHeight="1">
      <c r="A29" s="65"/>
      <c r="B29" s="68"/>
      <c r="C29" s="59" t="s">
        <v>149</v>
      </c>
      <c r="D29" s="59" t="s">
        <v>150</v>
      </c>
      <c r="E29" s="59" t="s">
        <v>151</v>
      </c>
      <c r="F29" s="59" t="s">
        <v>152</v>
      </c>
      <c r="G29" s="59" t="s">
        <v>153</v>
      </c>
      <c r="H29" s="59" t="s">
        <v>154</v>
      </c>
    </row>
    <row r="30" ht="60" customHeight="1">
      <c r="A30" s="65"/>
      <c r="B30" s="68"/>
      <c r="C30" s="59" t="s">
        <v>155</v>
      </c>
      <c r="D30" s="59" t="s">
        <v>156</v>
      </c>
      <c r="E30" s="59" t="s">
        <v>157</v>
      </c>
      <c r="F30" s="59" t="s">
        <v>158</v>
      </c>
      <c r="G30" s="59" t="s">
        <v>159</v>
      </c>
      <c r="H30" s="59" t="s">
        <v>160</v>
      </c>
    </row>
    <row r="31" ht="18" customHeight="1">
      <c r="A31" s="65"/>
      <c r="B31" s="66" t="s">
        <v>161</v>
      </c>
      <c r="C31" s="67" t="s">
        <v>35</v>
      </c>
      <c r="D31" s="67" t="s">
        <v>35</v>
      </c>
      <c r="E31" s="67" t="s">
        <v>35</v>
      </c>
      <c r="F31" s="67" t="s">
        <v>35</v>
      </c>
      <c r="G31" s="67" t="s">
        <v>35</v>
      </c>
      <c r="H31" s="67" t="s">
        <v>35</v>
      </c>
    </row>
    <row r="32" ht="60" customHeight="1">
      <c r="A32" s="65"/>
      <c r="B32" s="68"/>
      <c r="C32" s="58" t="s">
        <v>162</v>
      </c>
      <c r="D32" s="58" t="s">
        <v>163</v>
      </c>
      <c r="E32" s="58" t="s">
        <v>164</v>
      </c>
      <c r="F32" s="58" t="s">
        <v>165</v>
      </c>
      <c r="G32" s="58" t="s">
        <v>166</v>
      </c>
      <c r="H32" s="58" t="s">
        <v>167</v>
      </c>
    </row>
    <row r="33" ht="60" customHeight="1">
      <c r="A33" s="65"/>
      <c r="B33" s="68"/>
      <c r="C33" s="59" t="s">
        <v>168</v>
      </c>
      <c r="D33" s="59" t="s">
        <v>169</v>
      </c>
      <c r="E33" s="59" t="s">
        <v>170</v>
      </c>
      <c r="F33" s="59" t="s">
        <v>171</v>
      </c>
      <c r="G33" s="59" t="s">
        <v>172</v>
      </c>
      <c r="H33" s="59" t="s">
        <v>173</v>
      </c>
    </row>
    <row r="34" ht="60" customHeight="1">
      <c r="A34" s="65"/>
      <c r="B34" s="68"/>
      <c r="C34" s="59" t="s">
        <v>174</v>
      </c>
      <c r="D34" s="59" t="s">
        <v>175</v>
      </c>
      <c r="E34" s="59" t="s">
        <v>176</v>
      </c>
      <c r="F34" s="59" t="s">
        <v>177</v>
      </c>
      <c r="G34" s="59" t="s">
        <v>178</v>
      </c>
      <c r="H34" s="59" t="s">
        <v>179</v>
      </c>
    </row>
    <row r="35" ht="60" customHeight="1">
      <c r="A35" s="65"/>
      <c r="B35" s="68"/>
      <c r="C35" s="59" t="s">
        <v>180</v>
      </c>
      <c r="D35" s="59" t="s">
        <v>181</v>
      </c>
      <c r="E35" s="59" t="s">
        <v>182</v>
      </c>
      <c r="F35" s="59" t="s">
        <v>183</v>
      </c>
      <c r="G35" s="59" t="s">
        <v>184</v>
      </c>
      <c r="H35" s="59" t="s">
        <v>185</v>
      </c>
    </row>
    <row r="36" ht="18" customHeight="1">
      <c r="A36" s="69" t="s">
        <v>186</v>
      </c>
      <c r="B36" s="70" t="s">
        <v>187</v>
      </c>
      <c r="C36" s="71" t="s">
        <v>35</v>
      </c>
      <c r="D36" s="71" t="s">
        <v>35</v>
      </c>
      <c r="E36" s="71" t="s">
        <v>35</v>
      </c>
      <c r="F36" s="71" t="s">
        <v>35</v>
      </c>
      <c r="G36" s="71" t="s">
        <v>35</v>
      </c>
      <c r="H36" s="71" t="s">
        <v>35</v>
      </c>
    </row>
    <row r="37" ht="60" customHeight="1">
      <c r="A37" s="69"/>
      <c r="B37" s="72"/>
      <c r="C37" s="58" t="s">
        <v>188</v>
      </c>
      <c r="D37" s="58" t="s">
        <v>189</v>
      </c>
      <c r="E37" s="58" t="s">
        <v>190</v>
      </c>
      <c r="F37" s="58" t="s">
        <v>191</v>
      </c>
      <c r="G37" s="58" t="s">
        <v>192</v>
      </c>
      <c r="H37" s="58" t="s">
        <v>193</v>
      </c>
    </row>
    <row r="38" ht="60" customHeight="1">
      <c r="A38" s="69"/>
      <c r="B38" s="72"/>
      <c r="C38" s="59" t="s">
        <v>194</v>
      </c>
      <c r="D38" s="59" t="s">
        <v>195</v>
      </c>
      <c r="E38" s="59" t="s">
        <v>196</v>
      </c>
      <c r="F38" s="59" t="s">
        <v>197</v>
      </c>
      <c r="G38" s="59" t="s">
        <v>198</v>
      </c>
      <c r="H38" s="59" t="s">
        <v>199</v>
      </c>
    </row>
    <row r="39" ht="60" customHeight="1">
      <c r="A39" s="69"/>
      <c r="B39" s="72"/>
      <c r="C39" s="59" t="s">
        <v>200</v>
      </c>
      <c r="D39" s="59" t="s">
        <v>201</v>
      </c>
      <c r="E39" s="59" t="s">
        <v>202</v>
      </c>
      <c r="F39" s="59" t="s">
        <v>203</v>
      </c>
      <c r="G39" s="59" t="s">
        <v>204</v>
      </c>
      <c r="H39" s="59" t="s">
        <v>205</v>
      </c>
    </row>
    <row r="40" ht="60" customHeight="1">
      <c r="A40" s="69"/>
      <c r="B40" s="72"/>
      <c r="C40" s="59" t="s">
        <v>206</v>
      </c>
      <c r="D40" s="59" t="s">
        <v>207</v>
      </c>
      <c r="E40" s="59" t="s">
        <v>208</v>
      </c>
      <c r="F40" s="59" t="s">
        <v>209</v>
      </c>
      <c r="G40" s="59" t="s">
        <v>210</v>
      </c>
      <c r="H40" s="59" t="s">
        <v>211</v>
      </c>
    </row>
    <row r="41" ht="18" customHeight="1">
      <c r="A41" s="69"/>
      <c r="B41" s="70" t="s">
        <v>212</v>
      </c>
      <c r="C41" s="71" t="s">
        <v>35</v>
      </c>
      <c r="D41" s="71" t="s">
        <v>35</v>
      </c>
      <c r="E41" s="71" t="s">
        <v>35</v>
      </c>
      <c r="F41" s="71" t="s">
        <v>35</v>
      </c>
      <c r="G41" s="71" t="s">
        <v>35</v>
      </c>
      <c r="H41" s="71" t="s">
        <v>35</v>
      </c>
    </row>
    <row r="42" ht="65.25" customHeight="1">
      <c r="A42" s="69"/>
      <c r="B42" s="72"/>
      <c r="C42" s="58" t="s">
        <v>213</v>
      </c>
      <c r="D42" s="58" t="s">
        <v>214</v>
      </c>
      <c r="E42" s="58" t="s">
        <v>215</v>
      </c>
      <c r="F42" s="58" t="s">
        <v>216</v>
      </c>
      <c r="G42" s="58" t="s">
        <v>217</v>
      </c>
      <c r="H42" s="58" t="s">
        <v>218</v>
      </c>
    </row>
    <row r="43" ht="60" customHeight="1">
      <c r="A43" s="69"/>
      <c r="B43" s="72"/>
      <c r="C43" s="59" t="s">
        <v>219</v>
      </c>
      <c r="D43" s="59" t="s">
        <v>220</v>
      </c>
      <c r="E43" s="59" t="s">
        <v>221</v>
      </c>
      <c r="F43" s="59" t="s">
        <v>222</v>
      </c>
      <c r="G43" s="59" t="s">
        <v>223</v>
      </c>
      <c r="H43" s="59" t="s">
        <v>224</v>
      </c>
    </row>
    <row r="44" ht="60" customHeight="1">
      <c r="A44" s="69"/>
      <c r="B44" s="72"/>
      <c r="C44" s="59" t="s">
        <v>225</v>
      </c>
      <c r="D44" s="59" t="s">
        <v>226</v>
      </c>
      <c r="E44" s="59" t="s">
        <v>227</v>
      </c>
      <c r="F44" s="59" t="s">
        <v>228</v>
      </c>
      <c r="G44" s="59" t="s">
        <v>229</v>
      </c>
      <c r="H44" s="59" t="s">
        <v>230</v>
      </c>
    </row>
    <row r="45" ht="60" customHeight="1">
      <c r="A45" s="69"/>
      <c r="B45" s="72"/>
      <c r="C45" s="59" t="s">
        <v>231</v>
      </c>
      <c r="D45" s="59" t="s">
        <v>232</v>
      </c>
      <c r="E45" s="59" t="s">
        <v>233</v>
      </c>
      <c r="F45" s="59" t="s">
        <v>234</v>
      </c>
      <c r="G45" s="59" t="s">
        <v>235</v>
      </c>
      <c r="H45" s="59" t="s">
        <v>236</v>
      </c>
    </row>
  </sheetData>
  <sheetProtection algorithmName="SHA-512" hashValue="KjLE5rhtp/72ws68bHb6BX8xI+neFCcpPqOoWnG0m2RnVcTzrg9okdMChcxBwAWgqbQWLlKdkvjknEHLtDza7g==" saltValue="hevcELO0VaEhHWH+SuS5RQ==" spinCount="100000" autoFilter="1" deleteColumns="1" deleteRows="1" formatCells="1" formatColumns="1" formatRows="1" insertColumns="1" insertHyperlinks="1" insertRows="1" objects="1" pivotTables="1" scenarios="1" selectLockedCells="0" selectUnlockedCells="0" sheet="1" sort="1"/>
  <mergeCells count="13">
    <mergeCell ref="A2:H2"/>
    <mergeCell ref="A3:H3"/>
    <mergeCell ref="A6:A25"/>
    <mergeCell ref="B6:B10"/>
    <mergeCell ref="B11:B15"/>
    <mergeCell ref="B16:B20"/>
    <mergeCell ref="B21:B25"/>
    <mergeCell ref="A26:A35"/>
    <mergeCell ref="B26:B30"/>
    <mergeCell ref="B31:B35"/>
    <mergeCell ref="A36:A45"/>
    <mergeCell ref="B36:B40"/>
    <mergeCell ref="B41:B45"/>
  </mergeCells>
  <printOptions headings="0" gridLines="0" horizontalCentered="0" verticalCentered="0"/>
  <pageMargins left="0.75" right="0.75" top="1" bottom="1" header="0.51181102362204689" footer="0.51181102362204689"/>
  <pageSetup paperSize="9" scale="100" fitToWidth="1" fitToHeight="0" pageOrder="downThenOver" orientation="landscape" usePrinterDefaults="1" blackAndWhite="0" draft="0" cellComments="none" useFirstPageNumber="0" errors="displayed" horizontalDpi="300" verticalDpi="3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EA5054"/>
    <outlinePr applyStyles="0" summaryBelow="1" summaryRight="1" showOutlineSymbols="1"/>
    <pageSetUpPr autoPageBreaks="1" fitToPage="1"/>
  </sheetPr>
  <sheetViews>
    <sheetView showFormulas="0" showGridLines="0" showRowColHeaders="1" showZeros="1" rightToLeft="0" view="normal" topLeftCell="B1" zoomScale="100" workbookViewId="0">
      <pane ySplit="4" topLeftCell="A5" activePane="bottomLeft" state="frozen"/>
      <selection activeCell="A1" activeCellId="0" sqref="A1"/>
    </sheetView>
  </sheetViews>
  <sheetFormatPr defaultColWidth="8.6796875" defaultRowHeight="15" customHeight="1"/>
  <cols>
    <col customWidth="1" min="1" max="1" style="1" width="19.52"/>
    <col customWidth="1" min="2" max="2" style="1" width="38.579999999999998"/>
    <col customWidth="1" min="3" max="3" style="1" width="22"/>
    <col customWidth="1" min="4" max="4" style="1" width="70"/>
    <col customWidth="1" min="5" max="5" style="1" width="12"/>
    <col customWidth="1" min="6" max="6" style="1" width="54.57421875"/>
  </cols>
  <sheetData>
    <row r="1" ht="15">
      <c r="A1"/>
      <c r="B1"/>
      <c r="C1"/>
      <c r="D1"/>
      <c r="E1"/>
      <c r="F1"/>
    </row>
    <row r="2" s="44" customFormat="1" ht="19.5">
      <c r="A2" s="73" t="s">
        <v>237</v>
      </c>
      <c r="B2" s="73"/>
      <c r="C2" s="73"/>
      <c r="D2" s="73"/>
      <c r="E2" s="73"/>
      <c r="F2" s="73"/>
    </row>
    <row r="3" s="46" customFormat="1" ht="15">
      <c r="A3" s="74" t="s">
        <v>238</v>
      </c>
      <c r="B3" s="74"/>
      <c r="C3" s="74"/>
      <c r="D3" s="74"/>
      <c r="E3" s="74"/>
      <c r="F3" s="74"/>
    </row>
    <row r="5" s="46" customFormat="1" ht="23.25" customHeight="1">
      <c r="A5" s="75" t="s">
        <v>239</v>
      </c>
      <c r="B5" s="75" t="s">
        <v>240</v>
      </c>
      <c r="C5" s="75" t="s">
        <v>241</v>
      </c>
      <c r="D5" s="75" t="s">
        <v>242</v>
      </c>
      <c r="E5" s="75" t="s">
        <v>243</v>
      </c>
      <c r="F5" s="75" t="s">
        <v>244</v>
      </c>
    </row>
    <row r="6" ht="36" customHeight="1">
      <c r="A6" s="76" t="s">
        <v>33</v>
      </c>
      <c r="B6" s="77" t="s">
        <v>245</v>
      </c>
      <c r="C6" s="77" t="s">
        <v>246</v>
      </c>
      <c r="D6" s="78" t="s">
        <v>247</v>
      </c>
      <c r="E6" s="79"/>
      <c r="F6" s="80"/>
    </row>
    <row r="7" ht="36" customHeight="1">
      <c r="A7" s="76" t="s">
        <v>33</v>
      </c>
      <c r="B7" s="77" t="s">
        <v>245</v>
      </c>
      <c r="C7" s="77" t="s">
        <v>248</v>
      </c>
      <c r="D7" s="78" t="s">
        <v>249</v>
      </c>
      <c r="E7" s="79"/>
      <c r="F7" s="80"/>
    </row>
    <row r="8" ht="36" customHeight="1">
      <c r="A8" s="76" t="s">
        <v>33</v>
      </c>
      <c r="B8" s="77" t="s">
        <v>245</v>
      </c>
      <c r="C8" s="77" t="s">
        <v>250</v>
      </c>
      <c r="D8" s="78" t="s">
        <v>251</v>
      </c>
      <c r="E8" s="79"/>
      <c r="F8" s="80"/>
    </row>
    <row r="9" ht="36" customHeight="1">
      <c r="A9" s="76" t="s">
        <v>33</v>
      </c>
      <c r="B9" s="77" t="s">
        <v>245</v>
      </c>
      <c r="C9" s="77" t="s">
        <v>252</v>
      </c>
      <c r="D9" s="78" t="s">
        <v>253</v>
      </c>
      <c r="E9" s="79"/>
      <c r="F9" s="80"/>
    </row>
    <row r="10" ht="36" customHeight="1">
      <c r="A10" s="76" t="s">
        <v>33</v>
      </c>
      <c r="B10" s="77" t="s">
        <v>245</v>
      </c>
      <c r="C10" s="77" t="s">
        <v>254</v>
      </c>
      <c r="D10" s="78" t="s">
        <v>255</v>
      </c>
      <c r="E10" s="79"/>
      <c r="F10" s="80"/>
    </row>
    <row r="11" ht="36" customHeight="1">
      <c r="A11" s="76" t="s">
        <v>33</v>
      </c>
      <c r="B11" s="77" t="s">
        <v>245</v>
      </c>
      <c r="C11" s="77" t="s">
        <v>256</v>
      </c>
      <c r="D11" s="78" t="s">
        <v>257</v>
      </c>
      <c r="E11" s="79"/>
      <c r="F11" s="80"/>
    </row>
    <row r="12" ht="36" customHeight="1">
      <c r="A12" s="76" t="s">
        <v>33</v>
      </c>
      <c r="B12" s="77" t="s">
        <v>258</v>
      </c>
      <c r="C12" s="77" t="s">
        <v>246</v>
      </c>
      <c r="D12" s="78" t="s">
        <v>259</v>
      </c>
      <c r="E12" s="79"/>
      <c r="F12" s="80"/>
    </row>
    <row r="13" ht="36" customHeight="1">
      <c r="A13" s="76" t="s">
        <v>33</v>
      </c>
      <c r="B13" s="77" t="s">
        <v>258</v>
      </c>
      <c r="C13" s="77" t="s">
        <v>248</v>
      </c>
      <c r="D13" s="78" t="s">
        <v>260</v>
      </c>
      <c r="E13" s="79"/>
      <c r="F13" s="80"/>
    </row>
    <row r="14" ht="36" customHeight="1">
      <c r="A14" s="76" t="s">
        <v>33</v>
      </c>
      <c r="B14" s="77" t="s">
        <v>258</v>
      </c>
      <c r="C14" s="77" t="s">
        <v>250</v>
      </c>
      <c r="D14" s="78" t="s">
        <v>261</v>
      </c>
      <c r="E14" s="79"/>
      <c r="F14" s="80"/>
    </row>
    <row r="15" ht="36" customHeight="1">
      <c r="A15" s="76" t="s">
        <v>33</v>
      </c>
      <c r="B15" s="77" t="s">
        <v>258</v>
      </c>
      <c r="C15" s="77" t="s">
        <v>252</v>
      </c>
      <c r="D15" s="78" t="s">
        <v>262</v>
      </c>
      <c r="E15" s="79"/>
      <c r="F15" s="80"/>
    </row>
    <row r="16" ht="36" customHeight="1">
      <c r="A16" s="76" t="s">
        <v>33</v>
      </c>
      <c r="B16" s="77" t="s">
        <v>258</v>
      </c>
      <c r="C16" s="77" t="s">
        <v>254</v>
      </c>
      <c r="D16" s="78" t="s">
        <v>263</v>
      </c>
      <c r="E16" s="79"/>
      <c r="F16" s="80"/>
    </row>
    <row r="17" ht="36" customHeight="1">
      <c r="A17" s="76" t="s">
        <v>33</v>
      </c>
      <c r="B17" s="77" t="s">
        <v>258</v>
      </c>
      <c r="C17" s="77" t="s">
        <v>256</v>
      </c>
      <c r="D17" s="78" t="s">
        <v>264</v>
      </c>
      <c r="E17" s="79"/>
      <c r="F17" s="80"/>
    </row>
    <row r="18" ht="36" customHeight="1">
      <c r="A18" s="76" t="s">
        <v>33</v>
      </c>
      <c r="B18" s="77" t="s">
        <v>265</v>
      </c>
      <c r="C18" s="77" t="s">
        <v>246</v>
      </c>
      <c r="D18" s="78" t="s">
        <v>266</v>
      </c>
      <c r="E18" s="79"/>
      <c r="F18" s="80"/>
    </row>
    <row r="19" ht="36" customHeight="1">
      <c r="A19" s="76" t="s">
        <v>33</v>
      </c>
      <c r="B19" s="77" t="s">
        <v>265</v>
      </c>
      <c r="C19" s="77" t="s">
        <v>248</v>
      </c>
      <c r="D19" s="78" t="s">
        <v>267</v>
      </c>
      <c r="E19" s="79"/>
      <c r="F19" s="80"/>
    </row>
    <row r="20" ht="36" customHeight="1">
      <c r="A20" s="76" t="s">
        <v>33</v>
      </c>
      <c r="B20" s="77" t="s">
        <v>265</v>
      </c>
      <c r="C20" s="77" t="s">
        <v>250</v>
      </c>
      <c r="D20" s="78" t="s">
        <v>268</v>
      </c>
      <c r="E20" s="79"/>
      <c r="F20" s="80"/>
    </row>
    <row r="21" ht="36" customHeight="1">
      <c r="A21" s="76" t="s">
        <v>33</v>
      </c>
      <c r="B21" s="77" t="s">
        <v>265</v>
      </c>
      <c r="C21" s="77" t="s">
        <v>252</v>
      </c>
      <c r="D21" s="78" t="s">
        <v>269</v>
      </c>
      <c r="E21" s="79"/>
      <c r="F21" s="80"/>
    </row>
    <row r="22" ht="36" customHeight="1">
      <c r="A22" s="76" t="s">
        <v>33</v>
      </c>
      <c r="B22" s="77" t="s">
        <v>265</v>
      </c>
      <c r="C22" s="77" t="s">
        <v>254</v>
      </c>
      <c r="D22" s="78" t="s">
        <v>270</v>
      </c>
      <c r="E22" s="79"/>
      <c r="F22" s="80"/>
    </row>
    <row r="23" ht="36" customHeight="1">
      <c r="A23" s="76" t="s">
        <v>33</v>
      </c>
      <c r="B23" s="77" t="s">
        <v>265</v>
      </c>
      <c r="C23" s="77" t="s">
        <v>256</v>
      </c>
      <c r="D23" s="78" t="s">
        <v>271</v>
      </c>
      <c r="E23" s="79"/>
      <c r="F23" s="80"/>
    </row>
    <row r="24" ht="36" customHeight="1">
      <c r="A24" s="76" t="s">
        <v>33</v>
      </c>
      <c r="B24" s="77" t="s">
        <v>272</v>
      </c>
      <c r="C24" s="77" t="s">
        <v>246</v>
      </c>
      <c r="D24" s="78" t="s">
        <v>273</v>
      </c>
      <c r="E24" s="79"/>
      <c r="F24" s="80"/>
    </row>
    <row r="25" ht="36" customHeight="1">
      <c r="A25" s="76" t="s">
        <v>33</v>
      </c>
      <c r="B25" s="77" t="s">
        <v>272</v>
      </c>
      <c r="C25" s="77" t="s">
        <v>248</v>
      </c>
      <c r="D25" s="78" t="s">
        <v>274</v>
      </c>
      <c r="E25" s="79"/>
      <c r="F25" s="80"/>
    </row>
    <row r="26" ht="36" customHeight="1">
      <c r="A26" s="76" t="s">
        <v>33</v>
      </c>
      <c r="B26" s="77" t="s">
        <v>272</v>
      </c>
      <c r="C26" s="77" t="s">
        <v>250</v>
      </c>
      <c r="D26" s="78" t="s">
        <v>275</v>
      </c>
      <c r="E26" s="79"/>
      <c r="F26" s="80"/>
    </row>
    <row r="27" ht="36" customHeight="1">
      <c r="A27" s="81" t="s">
        <v>33</v>
      </c>
      <c r="B27" s="82" t="s">
        <v>272</v>
      </c>
      <c r="C27" s="82" t="s">
        <v>252</v>
      </c>
      <c r="D27" s="83" t="s">
        <v>276</v>
      </c>
      <c r="E27" s="84"/>
      <c r="F27" s="85"/>
    </row>
    <row r="28" ht="36" customHeight="1">
      <c r="A28" s="86" t="s">
        <v>33</v>
      </c>
      <c r="B28" s="87" t="s">
        <v>272</v>
      </c>
      <c r="C28" s="87" t="s">
        <v>254</v>
      </c>
      <c r="D28" s="88" t="s">
        <v>277</v>
      </c>
      <c r="E28" s="89"/>
      <c r="F28" s="90"/>
    </row>
    <row r="29" ht="36" customHeight="1">
      <c r="A29" s="86" t="s">
        <v>33</v>
      </c>
      <c r="B29" s="87" t="s">
        <v>272</v>
      </c>
      <c r="C29" s="87" t="s">
        <v>256</v>
      </c>
      <c r="D29" s="88" t="s">
        <v>278</v>
      </c>
      <c r="E29" s="89"/>
      <c r="F29" s="90"/>
    </row>
    <row r="30" s="43" customFormat="1" ht="36" customHeight="1">
      <c r="A30" s="91" t="s">
        <v>135</v>
      </c>
      <c r="B30" s="87" t="s">
        <v>279</v>
      </c>
      <c r="C30" s="87" t="s">
        <v>246</v>
      </c>
      <c r="D30" s="88" t="s">
        <v>280</v>
      </c>
      <c r="E30" s="89"/>
      <c r="F30" s="90"/>
    </row>
    <row r="31" ht="36" customHeight="1">
      <c r="A31" s="91" t="s">
        <v>135</v>
      </c>
      <c r="B31" s="87" t="s">
        <v>279</v>
      </c>
      <c r="C31" s="87" t="s">
        <v>248</v>
      </c>
      <c r="D31" s="88" t="s">
        <v>281</v>
      </c>
      <c r="E31" s="89"/>
      <c r="F31" s="90"/>
    </row>
    <row r="32" ht="36" customHeight="1">
      <c r="A32" s="92" t="s">
        <v>135</v>
      </c>
      <c r="B32" s="93" t="s">
        <v>279</v>
      </c>
      <c r="C32" s="93" t="s">
        <v>250</v>
      </c>
      <c r="D32" s="94" t="s">
        <v>282</v>
      </c>
      <c r="E32" s="95"/>
      <c r="F32" s="96"/>
    </row>
    <row r="33" ht="36" customHeight="1">
      <c r="A33" s="97" t="s">
        <v>135</v>
      </c>
      <c r="B33" s="77" t="s">
        <v>279</v>
      </c>
      <c r="C33" s="77" t="s">
        <v>252</v>
      </c>
      <c r="D33" s="78" t="s">
        <v>283</v>
      </c>
      <c r="E33" s="79"/>
      <c r="F33" s="80"/>
    </row>
    <row r="34" ht="36" customHeight="1">
      <c r="A34" s="97" t="s">
        <v>135</v>
      </c>
      <c r="B34" s="77" t="s">
        <v>279</v>
      </c>
      <c r="C34" s="77" t="s">
        <v>254</v>
      </c>
      <c r="D34" s="78" t="s">
        <v>284</v>
      </c>
      <c r="E34" s="79"/>
      <c r="F34" s="80"/>
    </row>
    <row r="35" ht="36" customHeight="1">
      <c r="A35" s="97" t="s">
        <v>135</v>
      </c>
      <c r="B35" s="77" t="s">
        <v>279</v>
      </c>
      <c r="C35" s="77" t="s">
        <v>256</v>
      </c>
      <c r="D35" s="78" t="s">
        <v>285</v>
      </c>
      <c r="E35" s="79"/>
      <c r="F35" s="80"/>
    </row>
    <row r="36" ht="36" customHeight="1">
      <c r="A36" s="97" t="s">
        <v>135</v>
      </c>
      <c r="B36" s="77" t="s">
        <v>286</v>
      </c>
      <c r="C36" s="77" t="s">
        <v>246</v>
      </c>
      <c r="D36" s="78" t="s">
        <v>287</v>
      </c>
      <c r="E36" s="79"/>
      <c r="F36" s="80"/>
    </row>
    <row r="37" ht="36" customHeight="1">
      <c r="A37" s="97" t="s">
        <v>135</v>
      </c>
      <c r="B37" s="77" t="s">
        <v>286</v>
      </c>
      <c r="C37" s="77" t="s">
        <v>248</v>
      </c>
      <c r="D37" s="78" t="s">
        <v>288</v>
      </c>
      <c r="E37" s="79"/>
      <c r="F37" s="80"/>
    </row>
    <row r="38" ht="36" customHeight="1">
      <c r="A38" s="97" t="s">
        <v>135</v>
      </c>
      <c r="B38" s="77" t="s">
        <v>286</v>
      </c>
      <c r="C38" s="77" t="s">
        <v>250</v>
      </c>
      <c r="D38" s="78" t="s">
        <v>289</v>
      </c>
      <c r="E38" s="79"/>
      <c r="F38" s="80"/>
    </row>
    <row r="39" ht="36" customHeight="1">
      <c r="A39" s="98" t="s">
        <v>135</v>
      </c>
      <c r="B39" s="82" t="s">
        <v>286</v>
      </c>
      <c r="C39" s="82" t="s">
        <v>252</v>
      </c>
      <c r="D39" s="83" t="s">
        <v>290</v>
      </c>
      <c r="E39" s="84"/>
      <c r="F39" s="85"/>
    </row>
    <row r="40" ht="36" customHeight="1">
      <c r="A40" s="91" t="s">
        <v>135</v>
      </c>
      <c r="B40" s="87" t="s">
        <v>286</v>
      </c>
      <c r="C40" s="87" t="s">
        <v>254</v>
      </c>
      <c r="D40" s="88" t="s">
        <v>291</v>
      </c>
      <c r="E40" s="89"/>
      <c r="F40" s="90"/>
    </row>
    <row r="41" ht="36" customHeight="1">
      <c r="A41" s="91" t="s">
        <v>135</v>
      </c>
      <c r="B41" s="87" t="s">
        <v>286</v>
      </c>
      <c r="C41" s="87" t="s">
        <v>256</v>
      </c>
      <c r="D41" s="88" t="s">
        <v>292</v>
      </c>
      <c r="E41" s="89"/>
      <c r="F41" s="90"/>
    </row>
    <row r="42" s="43" customFormat="1" ht="36" customHeight="1">
      <c r="A42" s="99" t="s">
        <v>186</v>
      </c>
      <c r="B42" s="87" t="s">
        <v>293</v>
      </c>
      <c r="C42" s="87" t="s">
        <v>246</v>
      </c>
      <c r="D42" s="88" t="s">
        <v>294</v>
      </c>
      <c r="E42" s="89"/>
      <c r="F42" s="90"/>
    </row>
    <row r="43" ht="36" customHeight="1">
      <c r="A43" s="99" t="s">
        <v>186</v>
      </c>
      <c r="B43" s="87" t="s">
        <v>293</v>
      </c>
      <c r="C43" s="87" t="s">
        <v>248</v>
      </c>
      <c r="D43" s="88" t="s">
        <v>295</v>
      </c>
      <c r="E43" s="89"/>
      <c r="F43" s="90"/>
    </row>
    <row r="44" ht="36" customHeight="1">
      <c r="A44" s="100" t="s">
        <v>186</v>
      </c>
      <c r="B44" s="93" t="s">
        <v>293</v>
      </c>
      <c r="C44" s="93" t="s">
        <v>250</v>
      </c>
      <c r="D44" s="94" t="s">
        <v>296</v>
      </c>
      <c r="E44" s="95"/>
      <c r="F44" s="96"/>
    </row>
    <row r="45" ht="36" customHeight="1">
      <c r="A45" s="101" t="s">
        <v>186</v>
      </c>
      <c r="B45" s="77" t="s">
        <v>293</v>
      </c>
      <c r="C45" s="77" t="s">
        <v>252</v>
      </c>
      <c r="D45" s="78" t="s">
        <v>297</v>
      </c>
      <c r="E45" s="79"/>
      <c r="F45" s="80"/>
    </row>
    <row r="46" ht="36" customHeight="1">
      <c r="A46" s="101" t="s">
        <v>186</v>
      </c>
      <c r="B46" s="77" t="s">
        <v>293</v>
      </c>
      <c r="C46" s="77" t="s">
        <v>254</v>
      </c>
      <c r="D46" s="78" t="s">
        <v>298</v>
      </c>
      <c r="E46" s="79"/>
      <c r="F46" s="80"/>
    </row>
    <row r="47" ht="36" customHeight="1">
      <c r="A47" s="101" t="s">
        <v>186</v>
      </c>
      <c r="B47" s="77" t="s">
        <v>293</v>
      </c>
      <c r="C47" s="77" t="s">
        <v>256</v>
      </c>
      <c r="D47" s="78" t="s">
        <v>299</v>
      </c>
      <c r="E47" s="79"/>
      <c r="F47" s="80"/>
    </row>
    <row r="48" ht="36" customHeight="1">
      <c r="A48" s="101" t="s">
        <v>186</v>
      </c>
      <c r="B48" s="77" t="s">
        <v>300</v>
      </c>
      <c r="C48" s="77" t="s">
        <v>246</v>
      </c>
      <c r="D48" s="78" t="s">
        <v>301</v>
      </c>
      <c r="E48" s="79"/>
      <c r="F48" s="80"/>
    </row>
    <row r="49" ht="36" customHeight="1">
      <c r="A49" s="101" t="s">
        <v>186</v>
      </c>
      <c r="B49" s="77" t="s">
        <v>300</v>
      </c>
      <c r="C49" s="77" t="s">
        <v>248</v>
      </c>
      <c r="D49" s="78" t="s">
        <v>302</v>
      </c>
      <c r="E49" s="79"/>
      <c r="F49" s="80"/>
    </row>
    <row r="50" ht="36" customHeight="1">
      <c r="A50" s="101" t="s">
        <v>186</v>
      </c>
      <c r="B50" s="77" t="s">
        <v>300</v>
      </c>
      <c r="C50" s="77" t="s">
        <v>250</v>
      </c>
      <c r="D50" s="78" t="s">
        <v>303</v>
      </c>
      <c r="E50" s="79"/>
      <c r="F50" s="80"/>
    </row>
    <row r="51" ht="36" customHeight="1">
      <c r="A51" s="101" t="s">
        <v>186</v>
      </c>
      <c r="B51" s="77" t="s">
        <v>300</v>
      </c>
      <c r="C51" s="77" t="s">
        <v>252</v>
      </c>
      <c r="D51" s="78" t="s">
        <v>304</v>
      </c>
      <c r="E51" s="79"/>
      <c r="F51" s="80"/>
    </row>
    <row r="52" ht="36" customHeight="1">
      <c r="A52" s="101" t="s">
        <v>186</v>
      </c>
      <c r="B52" s="77" t="s">
        <v>300</v>
      </c>
      <c r="C52" s="77" t="s">
        <v>254</v>
      </c>
      <c r="D52" s="78" t="s">
        <v>305</v>
      </c>
      <c r="E52" s="79"/>
      <c r="F52" s="80"/>
    </row>
    <row r="53" ht="36" customHeight="1">
      <c r="A53" s="101" t="s">
        <v>186</v>
      </c>
      <c r="B53" s="77" t="s">
        <v>300</v>
      </c>
      <c r="C53" s="77" t="s">
        <v>256</v>
      </c>
      <c r="D53" s="78" t="s">
        <v>306</v>
      </c>
      <c r="E53" s="79"/>
      <c r="F53" s="80"/>
    </row>
  </sheetData>
  <sheetProtection algorithmName="SHA-512" hashValue="mGoPulBejCueRuSYXigCz0a/IoOlTwEi9hM6h1pBiJpAO0Vu9dYwyUNqyhQkxQgd7+pkUFvPJKlL0EKLV4Z3kw==" saltValue="LB0SuuPoQohh0dGX3uRYJw==" spinCount="100000" autoFilter="1" deleteColumns="1" deleteRows="1" formatCells="1" formatColumns="1" formatRows="1" insertColumns="1" insertHyperlinks="1" insertRows="1" objects="1" pivotTables="1" scenarios="1" selectLockedCells="0" selectUnlockedCells="0" sheet="1" sort="1"/>
  <protectedRanges>
    <protectedRange name="YesNo audit checklist" sqref="E6:F53"/>
  </protectedRanges>
  <mergeCells count="2">
    <mergeCell ref="A2:F2"/>
    <mergeCell ref="A3:F3"/>
  </mergeCells>
  <printOptions headings="0" gridLines="0" horizontalCentered="0" verticalCentered="0"/>
  <pageMargins left="0.75" right="0.75" top="1" bottom="1" header="0.51181102362204689" footer="0.51181102362204689"/>
  <pageSetup paperSize="9" scale="100" fitToWidth="1" fitToHeight="0" pageOrder="downThenOver" orientation="portrait" usePrinterDefaults="1" blackAndWhite="0" draft="0" cellComments="none" useFirstPageNumber="0" errors="displayed" horizontalDpi="300" verticalDpi="300" copies="1"/>
  <headerFooter/>
  <drawing r:id="rId1"/>
  <extLst>
    <ext xmlns:x14="http://schemas.microsoft.com/office/spreadsheetml/2009/9/main" uri="{CCE6A557-97BC-4b89-ADB6-D9C93CAAB3DF}">
      <x14:dataValidations xmlns:xm="http://schemas.microsoft.com/office/excel/2006/main" count="48" disablePrompts="0">
        <x14:dataValidation xr:uid="{65ED44CD-8664-410B-BFDF-87FC2AC83FBC}" type="list" allowBlank="1" errorStyle="stop" imeMode="noControl" operator="between" showDropDown="0" showErrorMessage="1" showInputMessage="1">
          <x14:formula1>
            <xm:f>"Y,N,NA"</xm:f>
          </x14:formula1>
          <x14:formula2>
            <xm:f>0</xm:f>
          </x14:formula2>
          <xm:sqref>E6</xm:sqref>
        </x14:dataValidation>
        <x14:dataValidation xr:uid="{E5AA4956-F4DE-417D-B83B-9D512AB77FC6}" type="list" allowBlank="1" errorStyle="stop" imeMode="noControl" operator="between" showDropDown="0" showErrorMessage="1" showInputMessage="1">
          <x14:formula1>
            <xm:f>"Y,N,NA"</xm:f>
          </x14:formula1>
          <x14:formula2>
            <xm:f>0</xm:f>
          </x14:formula2>
          <xm:sqref>E7</xm:sqref>
        </x14:dataValidation>
        <x14:dataValidation xr:uid="{3D90D262-7093-4258-8596-71391F8280D9}" type="list" allowBlank="1" errorStyle="stop" imeMode="noControl" operator="between" showDropDown="0" showErrorMessage="1" showInputMessage="1">
          <x14:formula1>
            <xm:f>"Y,N,NA"</xm:f>
          </x14:formula1>
          <x14:formula2>
            <xm:f>0</xm:f>
          </x14:formula2>
          <xm:sqref>E8</xm:sqref>
        </x14:dataValidation>
        <x14:dataValidation xr:uid="{EB701781-DEAC-43E1-906E-DFC3038CB87A}" type="list" allowBlank="1" errorStyle="stop" imeMode="noControl" operator="between" showDropDown="0" showErrorMessage="1" showInputMessage="1">
          <x14:formula1>
            <xm:f>"Y,N,NA"</xm:f>
          </x14:formula1>
          <x14:formula2>
            <xm:f>0</xm:f>
          </x14:formula2>
          <xm:sqref>E9</xm:sqref>
        </x14:dataValidation>
        <x14:dataValidation xr:uid="{9FB14770-8E87-46FA-9381-A3D3E75A99CE}" type="list" allowBlank="1" errorStyle="stop" imeMode="noControl" operator="between" showDropDown="0" showErrorMessage="1" showInputMessage="1">
          <x14:formula1>
            <xm:f>"Y,N,NA"</xm:f>
          </x14:formula1>
          <x14:formula2>
            <xm:f>0</xm:f>
          </x14:formula2>
          <xm:sqref>E10</xm:sqref>
        </x14:dataValidation>
        <x14:dataValidation xr:uid="{E888CC4B-D8DD-4044-907A-77BAF37448AF}" type="list" allowBlank="1" errorStyle="stop" imeMode="noControl" operator="between" showDropDown="0" showErrorMessage="1" showInputMessage="1">
          <x14:formula1>
            <xm:f>"Y,N,NA"</xm:f>
          </x14:formula1>
          <x14:formula2>
            <xm:f>0</xm:f>
          </x14:formula2>
          <xm:sqref>E11</xm:sqref>
        </x14:dataValidation>
        <x14:dataValidation xr:uid="{7000C2A8-6716-4C89-9AE8-5A6E13B3AE55}" type="list" allowBlank="1" errorStyle="stop" imeMode="noControl" operator="between" showDropDown="0" showErrorMessage="1" showInputMessage="1">
          <x14:formula1>
            <xm:f>"Y,N,NA"</xm:f>
          </x14:formula1>
          <x14:formula2>
            <xm:f>0</xm:f>
          </x14:formula2>
          <xm:sqref>E12</xm:sqref>
        </x14:dataValidation>
        <x14:dataValidation xr:uid="{7ADCC9CD-3BE3-4213-9986-D7E2069C1238}" type="list" allowBlank="1" errorStyle="stop" imeMode="noControl" operator="between" showDropDown="0" showErrorMessage="1" showInputMessage="1">
          <x14:formula1>
            <xm:f>"Y,N,NA"</xm:f>
          </x14:formula1>
          <x14:formula2>
            <xm:f>0</xm:f>
          </x14:formula2>
          <xm:sqref>E13</xm:sqref>
        </x14:dataValidation>
        <x14:dataValidation xr:uid="{E20029E8-1164-4769-AD7A-F75BE196160B}" type="list" allowBlank="1" errorStyle="stop" imeMode="noControl" operator="between" showDropDown="0" showErrorMessage="1" showInputMessage="1">
          <x14:formula1>
            <xm:f>"Y,N,NA"</xm:f>
          </x14:formula1>
          <x14:formula2>
            <xm:f>0</xm:f>
          </x14:formula2>
          <xm:sqref>E14</xm:sqref>
        </x14:dataValidation>
        <x14:dataValidation xr:uid="{661DAB88-B3B4-4B08-91F0-FB24ACB8E979}" type="list" allowBlank="1" errorStyle="stop" imeMode="noControl" operator="between" showDropDown="0" showErrorMessage="1" showInputMessage="1">
          <x14:formula1>
            <xm:f>"Y,N,NA"</xm:f>
          </x14:formula1>
          <x14:formula2>
            <xm:f>0</xm:f>
          </x14:formula2>
          <xm:sqref>E15</xm:sqref>
        </x14:dataValidation>
        <x14:dataValidation xr:uid="{CE9A580B-B6CD-4310-96B2-2A1098A6C933}" type="list" allowBlank="1" errorStyle="stop" imeMode="noControl" operator="between" showDropDown="0" showErrorMessage="1" showInputMessage="1">
          <x14:formula1>
            <xm:f>"Y,N,NA"</xm:f>
          </x14:formula1>
          <x14:formula2>
            <xm:f>0</xm:f>
          </x14:formula2>
          <xm:sqref>E16</xm:sqref>
        </x14:dataValidation>
        <x14:dataValidation xr:uid="{675BA90E-0522-4705-9E8D-A6DA015A5155}" type="list" allowBlank="1" errorStyle="stop" imeMode="noControl" operator="between" showDropDown="0" showErrorMessage="1" showInputMessage="1">
          <x14:formula1>
            <xm:f>"Y,N,NA"</xm:f>
          </x14:formula1>
          <x14:formula2>
            <xm:f>0</xm:f>
          </x14:formula2>
          <xm:sqref>E17</xm:sqref>
        </x14:dataValidation>
        <x14:dataValidation xr:uid="{7645D2AB-053F-48EB-B5B6-B566C5402A26}" type="list" allowBlank="1" errorStyle="stop" imeMode="noControl" operator="between" showDropDown="0" showErrorMessage="1" showInputMessage="1">
          <x14:formula1>
            <xm:f>"Y,N,NA"</xm:f>
          </x14:formula1>
          <x14:formula2>
            <xm:f>0</xm:f>
          </x14:formula2>
          <xm:sqref>E18</xm:sqref>
        </x14:dataValidation>
        <x14:dataValidation xr:uid="{743012FD-B625-4128-90FB-B700B6611444}" type="list" allowBlank="1" errorStyle="stop" imeMode="noControl" operator="between" showDropDown="0" showErrorMessage="1" showInputMessage="1">
          <x14:formula1>
            <xm:f>"Y,N,NA"</xm:f>
          </x14:formula1>
          <x14:formula2>
            <xm:f>0</xm:f>
          </x14:formula2>
          <xm:sqref>E19</xm:sqref>
        </x14:dataValidation>
        <x14:dataValidation xr:uid="{CA3FCA1C-AF85-44F9-8063-13D3D04FCC5E}" type="list" allowBlank="1" errorStyle="stop" imeMode="noControl" operator="between" showDropDown="0" showErrorMessage="1" showInputMessage="1">
          <x14:formula1>
            <xm:f>"Y,N,NA"</xm:f>
          </x14:formula1>
          <x14:formula2>
            <xm:f>0</xm:f>
          </x14:formula2>
          <xm:sqref>E20</xm:sqref>
        </x14:dataValidation>
        <x14:dataValidation xr:uid="{D7C782BE-9A89-45D0-A101-E84C722B6160}" type="list" allowBlank="1" errorStyle="stop" imeMode="noControl" operator="between" showDropDown="0" showErrorMessage="1" showInputMessage="1">
          <x14:formula1>
            <xm:f>"Y,N,NA"</xm:f>
          </x14:formula1>
          <x14:formula2>
            <xm:f>0</xm:f>
          </x14:formula2>
          <xm:sqref>E21</xm:sqref>
        </x14:dataValidation>
        <x14:dataValidation xr:uid="{C69F7BED-A8CB-4C18-B980-3344202A0CFC}" type="list" allowBlank="1" errorStyle="stop" imeMode="noControl" operator="between" showDropDown="0" showErrorMessage="1" showInputMessage="1">
          <x14:formula1>
            <xm:f>"Y,N,NA"</xm:f>
          </x14:formula1>
          <x14:formula2>
            <xm:f>0</xm:f>
          </x14:formula2>
          <xm:sqref>E22</xm:sqref>
        </x14:dataValidation>
        <x14:dataValidation xr:uid="{C103A0FE-D73D-4B0E-9D00-BD6E28C7BD10}" type="list" allowBlank="1" errorStyle="stop" imeMode="noControl" operator="between" showDropDown="0" showErrorMessage="1" showInputMessage="1">
          <x14:formula1>
            <xm:f>"Y,N,NA"</xm:f>
          </x14:formula1>
          <x14:formula2>
            <xm:f>0</xm:f>
          </x14:formula2>
          <xm:sqref>E23</xm:sqref>
        </x14:dataValidation>
        <x14:dataValidation xr:uid="{BFF190B4-85E1-49C7-82F1-C36A213B7C4C}" type="list" allowBlank="1" errorStyle="stop" imeMode="noControl" operator="between" showDropDown="0" showErrorMessage="1" showInputMessage="1">
          <x14:formula1>
            <xm:f>"Y,N,NA"</xm:f>
          </x14:formula1>
          <x14:formula2>
            <xm:f>0</xm:f>
          </x14:formula2>
          <xm:sqref>E24</xm:sqref>
        </x14:dataValidation>
        <x14:dataValidation xr:uid="{D2BE8CA9-B3EA-429E-A5C8-8D56C7C88B8F}" type="list" allowBlank="1" errorStyle="stop" imeMode="noControl" operator="between" showDropDown="0" showErrorMessage="1" showInputMessage="1">
          <x14:formula1>
            <xm:f>"Y,N,NA"</xm:f>
          </x14:formula1>
          <x14:formula2>
            <xm:f>0</xm:f>
          </x14:formula2>
          <xm:sqref>E25</xm:sqref>
        </x14:dataValidation>
        <x14:dataValidation xr:uid="{E8939A3E-0B0B-4441-9111-DB44767897E4}" type="list" allowBlank="1" errorStyle="stop" imeMode="noControl" operator="between" showDropDown="0" showErrorMessage="1" showInputMessage="1">
          <x14:formula1>
            <xm:f>"Y,N,NA"</xm:f>
          </x14:formula1>
          <x14:formula2>
            <xm:f>0</xm:f>
          </x14:formula2>
          <xm:sqref>E26</xm:sqref>
        </x14:dataValidation>
        <x14:dataValidation xr:uid="{6FC672BB-CD72-40AD-9815-7BF266307BA9}" type="list" allowBlank="1" errorStyle="stop" imeMode="noControl" operator="between" showDropDown="0" showErrorMessage="1" showInputMessage="1">
          <x14:formula1>
            <xm:f>"Y,N,NA"</xm:f>
          </x14:formula1>
          <x14:formula2>
            <xm:f>0</xm:f>
          </x14:formula2>
          <xm:sqref>E27</xm:sqref>
        </x14:dataValidation>
        <x14:dataValidation xr:uid="{62A86734-516D-4185-A040-3D7929CE9455}" type="list" allowBlank="1" errorStyle="stop" imeMode="noControl" operator="between" showDropDown="0" showErrorMessage="1" showInputMessage="1">
          <x14:formula1>
            <xm:f>"Y,N,NA"</xm:f>
          </x14:formula1>
          <x14:formula2>
            <xm:f>0</xm:f>
          </x14:formula2>
          <xm:sqref>E28</xm:sqref>
        </x14:dataValidation>
        <x14:dataValidation xr:uid="{E25EDAF6-ADA2-410C-964F-DD68F1111D5E}" type="list" allowBlank="1" errorStyle="stop" imeMode="noControl" operator="between" showDropDown="0" showErrorMessage="1" showInputMessage="1">
          <x14:formula1>
            <xm:f>"Y,N,NA"</xm:f>
          </x14:formula1>
          <x14:formula2>
            <xm:f>0</xm:f>
          </x14:formula2>
          <xm:sqref>E29</xm:sqref>
        </x14:dataValidation>
        <x14:dataValidation xr:uid="{D88F08C4-9134-4836-AFAB-419EBB526DAF}" type="list" allowBlank="1" errorStyle="stop" imeMode="noControl" operator="between" showDropDown="0" showErrorMessage="1" showInputMessage="1">
          <x14:formula1>
            <xm:f>"Y,N,NA"</xm:f>
          </x14:formula1>
          <x14:formula2>
            <xm:f>0</xm:f>
          </x14:formula2>
          <xm:sqref>E30</xm:sqref>
        </x14:dataValidation>
        <x14:dataValidation xr:uid="{6763B407-A143-448C-AF3C-3D963CAF6188}" type="list" allowBlank="1" errorStyle="stop" imeMode="noControl" operator="between" showDropDown="0" showErrorMessage="1" showInputMessage="1">
          <x14:formula1>
            <xm:f>"Y,N,NA"</xm:f>
          </x14:formula1>
          <x14:formula2>
            <xm:f>0</xm:f>
          </x14:formula2>
          <xm:sqref>E31</xm:sqref>
        </x14:dataValidation>
        <x14:dataValidation xr:uid="{4E2A0E5B-E037-4304-A310-A6B9F6920CC5}" type="list" allowBlank="1" errorStyle="stop" imeMode="noControl" operator="between" showDropDown="0" showErrorMessage="1" showInputMessage="1">
          <x14:formula1>
            <xm:f>"Y,N,NA"</xm:f>
          </x14:formula1>
          <x14:formula2>
            <xm:f>0</xm:f>
          </x14:formula2>
          <xm:sqref>E32</xm:sqref>
        </x14:dataValidation>
        <x14:dataValidation xr:uid="{C253CCF4-BAF1-458C-B797-08584A4A4B26}" type="list" allowBlank="1" errorStyle="stop" imeMode="noControl" operator="between" showDropDown="0" showErrorMessage="1" showInputMessage="1">
          <x14:formula1>
            <xm:f>"Y,N,NA"</xm:f>
          </x14:formula1>
          <x14:formula2>
            <xm:f>0</xm:f>
          </x14:formula2>
          <xm:sqref>E33</xm:sqref>
        </x14:dataValidation>
        <x14:dataValidation xr:uid="{E418DBF8-EB6C-4171-81EF-E1FD73F01F5E}" type="list" allowBlank="1" errorStyle="stop" imeMode="noControl" operator="between" showDropDown="0" showErrorMessage="1" showInputMessage="1">
          <x14:formula1>
            <xm:f>"Y,N,NA"</xm:f>
          </x14:formula1>
          <x14:formula2>
            <xm:f>0</xm:f>
          </x14:formula2>
          <xm:sqref>E34</xm:sqref>
        </x14:dataValidation>
        <x14:dataValidation xr:uid="{2B52C7F2-59E0-4297-98C4-507F5025BA2E}" type="list" allowBlank="1" errorStyle="stop" imeMode="noControl" operator="between" showDropDown="0" showErrorMessage="1" showInputMessage="1">
          <x14:formula1>
            <xm:f>"Y,N,NA"</xm:f>
          </x14:formula1>
          <x14:formula2>
            <xm:f>0</xm:f>
          </x14:formula2>
          <xm:sqref>E35</xm:sqref>
        </x14:dataValidation>
        <x14:dataValidation xr:uid="{AD5B9593-158D-442D-A87A-6AA7EE4F124E}" type="list" allowBlank="1" errorStyle="stop" imeMode="noControl" operator="between" showDropDown="0" showErrorMessage="1" showInputMessage="1">
          <x14:formula1>
            <xm:f>"Y,N,NA"</xm:f>
          </x14:formula1>
          <x14:formula2>
            <xm:f>0</xm:f>
          </x14:formula2>
          <xm:sqref>E36</xm:sqref>
        </x14:dataValidation>
        <x14:dataValidation xr:uid="{0EC02FF6-018E-4FBD-A1B5-7341713DC903}" type="list" allowBlank="1" errorStyle="stop" imeMode="noControl" operator="between" showDropDown="0" showErrorMessage="1" showInputMessage="1">
          <x14:formula1>
            <xm:f>"Y,N,NA"</xm:f>
          </x14:formula1>
          <x14:formula2>
            <xm:f>0</xm:f>
          </x14:formula2>
          <xm:sqref>E37</xm:sqref>
        </x14:dataValidation>
        <x14:dataValidation xr:uid="{A3556D2B-D295-4557-BE40-ED43C03B2688}" type="list" allowBlank="1" errorStyle="stop" imeMode="noControl" operator="between" showDropDown="0" showErrorMessage="1" showInputMessage="1">
          <x14:formula1>
            <xm:f>"Y,N,NA"</xm:f>
          </x14:formula1>
          <x14:formula2>
            <xm:f>0</xm:f>
          </x14:formula2>
          <xm:sqref>E38</xm:sqref>
        </x14:dataValidation>
        <x14:dataValidation xr:uid="{2B5541DF-BF94-4904-BED5-38C1E1667C1D}" type="list" allowBlank="1" errorStyle="stop" imeMode="noControl" operator="between" showDropDown="0" showErrorMessage="1" showInputMessage="1">
          <x14:formula1>
            <xm:f>"Y,N,NA"</xm:f>
          </x14:formula1>
          <x14:formula2>
            <xm:f>0</xm:f>
          </x14:formula2>
          <xm:sqref>E39</xm:sqref>
        </x14:dataValidation>
        <x14:dataValidation xr:uid="{0437BAEB-988E-45DF-BCD0-6B548217B7B9}" type="list" allowBlank="1" errorStyle="stop" imeMode="noControl" operator="between" showDropDown="0" showErrorMessage="1" showInputMessage="1">
          <x14:formula1>
            <xm:f>"Y,N,NA"</xm:f>
          </x14:formula1>
          <x14:formula2>
            <xm:f>0</xm:f>
          </x14:formula2>
          <xm:sqref>E40</xm:sqref>
        </x14:dataValidation>
        <x14:dataValidation xr:uid="{02EFA7A5-847A-46E0-833D-908A2821214B}" type="list" allowBlank="1" errorStyle="stop" imeMode="noControl" operator="between" showDropDown="0" showErrorMessage="1" showInputMessage="1">
          <x14:formula1>
            <xm:f>"Y,N,NA"</xm:f>
          </x14:formula1>
          <x14:formula2>
            <xm:f>0</xm:f>
          </x14:formula2>
          <xm:sqref>E41</xm:sqref>
        </x14:dataValidation>
        <x14:dataValidation xr:uid="{6AF25E14-7263-4F7A-9E06-9AAC36D14126}" type="list" allowBlank="1" errorStyle="stop" imeMode="noControl" operator="between" showDropDown="0" showErrorMessage="1" showInputMessage="1">
          <x14:formula1>
            <xm:f>"Y,N,NA"</xm:f>
          </x14:formula1>
          <x14:formula2>
            <xm:f>0</xm:f>
          </x14:formula2>
          <xm:sqref>E42</xm:sqref>
        </x14:dataValidation>
        <x14:dataValidation xr:uid="{2B0BFE6A-F66E-4E57-AF20-24ED63F0BDC0}" type="list" allowBlank="1" errorStyle="stop" imeMode="noControl" operator="between" showDropDown="0" showErrorMessage="1" showInputMessage="1">
          <x14:formula1>
            <xm:f>"Y,N,NA"</xm:f>
          </x14:formula1>
          <x14:formula2>
            <xm:f>0</xm:f>
          </x14:formula2>
          <xm:sqref>E43</xm:sqref>
        </x14:dataValidation>
        <x14:dataValidation xr:uid="{29B4F979-AB80-4549-82F3-6BC9A9E52926}" type="list" allowBlank="1" errorStyle="stop" imeMode="noControl" operator="between" showDropDown="0" showErrorMessage="1" showInputMessage="1">
          <x14:formula1>
            <xm:f>"Y,N,NA"</xm:f>
          </x14:formula1>
          <x14:formula2>
            <xm:f>0</xm:f>
          </x14:formula2>
          <xm:sqref>E44</xm:sqref>
        </x14:dataValidation>
        <x14:dataValidation xr:uid="{0C5A2060-EA30-46CC-A5AB-B951A4468761}" type="list" allowBlank="1" errorStyle="stop" imeMode="noControl" operator="between" showDropDown="0" showErrorMessage="1" showInputMessage="1">
          <x14:formula1>
            <xm:f>"Y,N,NA"</xm:f>
          </x14:formula1>
          <x14:formula2>
            <xm:f>0</xm:f>
          </x14:formula2>
          <xm:sqref>E45</xm:sqref>
        </x14:dataValidation>
        <x14:dataValidation xr:uid="{E35E15D0-0D3B-4A98-898A-1C4D80CD8981}" type="list" allowBlank="1" errorStyle="stop" imeMode="noControl" operator="between" showDropDown="0" showErrorMessage="1" showInputMessage="1">
          <x14:formula1>
            <xm:f>"Y,N,NA"</xm:f>
          </x14:formula1>
          <x14:formula2>
            <xm:f>0</xm:f>
          </x14:formula2>
          <xm:sqref>E46</xm:sqref>
        </x14:dataValidation>
        <x14:dataValidation xr:uid="{C31D4A65-B267-4204-BF62-C6548FB26B12}" type="list" allowBlank="1" errorStyle="stop" imeMode="noControl" operator="between" showDropDown="0" showErrorMessage="1" showInputMessage="1">
          <x14:formula1>
            <xm:f>"Y,N,NA"</xm:f>
          </x14:formula1>
          <x14:formula2>
            <xm:f>0</xm:f>
          </x14:formula2>
          <xm:sqref>E47</xm:sqref>
        </x14:dataValidation>
        <x14:dataValidation xr:uid="{50B4ED25-24C6-40A0-9E0F-5ED0E5EF0ABB}" type="list" allowBlank="1" errorStyle="stop" imeMode="noControl" operator="between" showDropDown="0" showErrorMessage="1" showInputMessage="1">
          <x14:formula1>
            <xm:f>"Y,N,NA"</xm:f>
          </x14:formula1>
          <x14:formula2>
            <xm:f>0</xm:f>
          </x14:formula2>
          <xm:sqref>E48</xm:sqref>
        </x14:dataValidation>
        <x14:dataValidation xr:uid="{8938738E-81F6-4A9A-8E90-00DC6B55A7C4}" type="list" allowBlank="1" errorStyle="stop" imeMode="noControl" operator="between" showDropDown="0" showErrorMessage="1" showInputMessage="1">
          <x14:formula1>
            <xm:f>"Y,N,NA"</xm:f>
          </x14:formula1>
          <x14:formula2>
            <xm:f>0</xm:f>
          </x14:formula2>
          <xm:sqref>E49</xm:sqref>
        </x14:dataValidation>
        <x14:dataValidation xr:uid="{D2F47FBF-CE9C-4CEC-9B04-8D8CC3158F67}" type="list" allowBlank="1" errorStyle="stop" imeMode="noControl" operator="between" showDropDown="0" showErrorMessage="1" showInputMessage="1">
          <x14:formula1>
            <xm:f>"Y,N,NA"</xm:f>
          </x14:formula1>
          <x14:formula2>
            <xm:f>0</xm:f>
          </x14:formula2>
          <xm:sqref>E50</xm:sqref>
        </x14:dataValidation>
        <x14:dataValidation xr:uid="{3AD82548-7616-49CA-8C91-21BF850C5E09}" type="list" allowBlank="1" errorStyle="stop" imeMode="noControl" operator="between" showDropDown="0" showErrorMessage="1" showInputMessage="1">
          <x14:formula1>
            <xm:f>"Y,N,NA"</xm:f>
          </x14:formula1>
          <x14:formula2>
            <xm:f>0</xm:f>
          </x14:formula2>
          <xm:sqref>E51</xm:sqref>
        </x14:dataValidation>
        <x14:dataValidation xr:uid="{FA3672E2-B44F-4DB8-9588-11256E6AFD09}" type="list" allowBlank="1" errorStyle="stop" imeMode="noControl" operator="between" showDropDown="0" showErrorMessage="1" showInputMessage="1">
          <x14:formula1>
            <xm:f>"Y,N,NA"</xm:f>
          </x14:formula1>
          <x14:formula2>
            <xm:f>0</xm:f>
          </x14:formula2>
          <xm:sqref>E52</xm:sqref>
        </x14:dataValidation>
        <x14:dataValidation xr:uid="{A23E1874-2008-4151-9FD3-606B15558008}" type="list" allowBlank="1" errorStyle="stop" imeMode="noControl" operator="between" showDropDown="0" showErrorMessage="1" showInputMessage="1">
          <x14:formula1>
            <xm:f>"Y,N,NA"</xm:f>
          </x14:formula1>
          <x14:formula2>
            <xm:f>0</xm:f>
          </x14:formula2>
          <xm:sqref>E53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EA5054"/>
    <outlinePr applyStyles="0" summaryBelow="1" summaryRight="1" showOutlineSymbols="1"/>
    <pageSetUpPr autoPageBreaks="1" fitToPage="0"/>
  </sheetPr>
  <sheetViews>
    <sheetView showFormulas="0" showGridLines="0" showRowColHeaders="1" showZeros="1" rightToLeft="0" view="normal" topLeftCell="A4" zoomScale="100" workbookViewId="0">
      <selection activeCell="E2" activeCellId="0" sqref="E2"/>
    </sheetView>
  </sheetViews>
  <sheetFormatPr defaultColWidth="8.6796875" defaultRowHeight="15" customHeight="1"/>
  <cols>
    <col customWidth="1" min="1" max="1" style="102" width="28"/>
    <col customWidth="1" min="2" max="2" style="102" width="17.57"/>
    <col customWidth="1" min="3" max="3" style="102" width="20.579999999999998"/>
    <col customWidth="1" min="4" max="4" style="102" width="12"/>
    <col customWidth="1" min="5" max="5" style="102" width="31.859999999999999"/>
    <col customWidth="0" min="6" max="16384" style="102" width="8.6799999999999997"/>
  </cols>
  <sheetData>
    <row r="1" ht="15" customHeight="1">
      <c r="A1" s="103"/>
      <c r="B1" s="103"/>
      <c r="C1" s="103"/>
      <c r="D1" s="103"/>
      <c r="E1" s="103"/>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c r="FY1" s="102"/>
      <c r="FZ1" s="102"/>
      <c r="GA1" s="102"/>
      <c r="GB1" s="102"/>
      <c r="GC1" s="102"/>
      <c r="GD1" s="102"/>
      <c r="GE1" s="102"/>
      <c r="GF1" s="102"/>
      <c r="GG1" s="102"/>
      <c r="GH1" s="102"/>
      <c r="GI1" s="102"/>
      <c r="GJ1" s="102"/>
      <c r="GK1" s="102"/>
      <c r="GL1" s="102"/>
      <c r="GM1" s="102"/>
      <c r="GN1" s="102"/>
      <c r="GO1" s="102"/>
      <c r="GP1" s="102"/>
      <c r="GQ1" s="102"/>
      <c r="GR1" s="102"/>
      <c r="GS1" s="102"/>
      <c r="GT1" s="102"/>
      <c r="GU1" s="102"/>
      <c r="GV1" s="102"/>
      <c r="GW1" s="102"/>
      <c r="GX1" s="102"/>
      <c r="GY1" s="102"/>
      <c r="GZ1" s="102"/>
      <c r="HA1" s="102"/>
      <c r="HB1" s="102"/>
      <c r="HC1" s="102"/>
      <c r="HD1" s="102"/>
      <c r="HE1" s="102"/>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2"/>
      <c r="IV1" s="102"/>
      <c r="IW1" s="102"/>
      <c r="IX1" s="102"/>
      <c r="IY1" s="102"/>
      <c r="IZ1" s="102"/>
      <c r="JA1" s="102"/>
      <c r="JB1" s="102"/>
      <c r="JC1" s="102"/>
      <c r="JD1" s="102"/>
      <c r="JE1" s="102"/>
      <c r="JF1" s="102"/>
      <c r="JG1" s="102"/>
      <c r="JH1" s="102"/>
      <c r="JI1" s="102"/>
      <c r="JJ1" s="102"/>
      <c r="JK1" s="102"/>
      <c r="JL1" s="102"/>
      <c r="JM1" s="102"/>
      <c r="JN1" s="102"/>
      <c r="JO1" s="102"/>
      <c r="JP1" s="102"/>
      <c r="JQ1" s="102"/>
      <c r="JR1" s="102"/>
      <c r="JS1" s="102"/>
      <c r="JT1" s="102"/>
      <c r="JU1" s="102"/>
      <c r="JV1" s="102"/>
      <c r="JW1" s="102"/>
      <c r="JX1" s="102"/>
      <c r="JY1" s="102"/>
      <c r="JZ1" s="102"/>
      <c r="KA1" s="102"/>
      <c r="KB1" s="102"/>
      <c r="KC1" s="102"/>
      <c r="KD1" s="102"/>
      <c r="KE1" s="102"/>
      <c r="KF1" s="102"/>
      <c r="KG1" s="102"/>
      <c r="KH1" s="102"/>
      <c r="KI1" s="102"/>
      <c r="KJ1" s="102"/>
      <c r="KK1" s="102"/>
      <c r="KL1" s="102"/>
      <c r="KM1" s="102"/>
      <c r="KN1" s="102"/>
      <c r="KO1" s="102"/>
      <c r="KP1" s="102"/>
      <c r="KQ1" s="102"/>
      <c r="KR1" s="102"/>
      <c r="KS1" s="102"/>
      <c r="KT1" s="102"/>
      <c r="KU1" s="102"/>
      <c r="KV1" s="102"/>
      <c r="KW1" s="102"/>
      <c r="KX1" s="102"/>
      <c r="KY1" s="102"/>
      <c r="KZ1" s="102"/>
      <c r="LA1" s="102"/>
      <c r="LB1" s="102"/>
      <c r="LC1" s="102"/>
      <c r="LD1" s="102"/>
      <c r="LE1" s="102"/>
      <c r="LF1" s="102"/>
      <c r="LG1" s="102"/>
      <c r="LH1" s="102"/>
      <c r="LI1" s="102"/>
      <c r="LJ1" s="102"/>
      <c r="LK1" s="102"/>
      <c r="LL1" s="102"/>
      <c r="LM1" s="102"/>
      <c r="LN1" s="102"/>
      <c r="LO1" s="102"/>
      <c r="LP1" s="102"/>
      <c r="LQ1" s="102"/>
      <c r="LR1" s="102"/>
      <c r="LS1" s="102"/>
      <c r="LT1" s="102"/>
      <c r="LU1" s="102"/>
      <c r="LV1" s="102"/>
      <c r="LW1" s="102"/>
      <c r="LX1" s="102"/>
      <c r="LY1" s="102"/>
    </row>
    <row r="2" s="104" customFormat="1" ht="27.75" customHeight="1">
      <c r="A2" s="105" t="s">
        <v>307</v>
      </c>
      <c r="B2" s="106"/>
      <c r="C2" s="107"/>
      <c r="D2" s="108"/>
      <c r="E2" s="109"/>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c r="FA2" s="104"/>
      <c r="FB2" s="104"/>
      <c r="FC2" s="104"/>
      <c r="FD2" s="104"/>
      <c r="FE2" s="104"/>
      <c r="FF2" s="104"/>
      <c r="FG2" s="104"/>
      <c r="FH2" s="104"/>
      <c r="FI2" s="104"/>
      <c r="FJ2" s="104"/>
      <c r="FK2" s="104"/>
      <c r="FL2" s="104"/>
      <c r="FM2" s="104"/>
      <c r="FN2" s="104"/>
      <c r="FO2" s="104"/>
      <c r="FP2" s="104"/>
      <c r="FQ2" s="104"/>
      <c r="FR2" s="104"/>
      <c r="FS2" s="104"/>
      <c r="FT2" s="104"/>
      <c r="FU2" s="104"/>
      <c r="FV2" s="104"/>
      <c r="FW2" s="104"/>
      <c r="FX2" s="104"/>
      <c r="FY2" s="104"/>
      <c r="FZ2" s="104"/>
      <c r="GA2" s="104"/>
      <c r="GB2" s="104"/>
      <c r="GC2" s="104"/>
      <c r="GD2" s="104"/>
      <c r="GE2" s="104"/>
      <c r="GF2" s="104"/>
      <c r="GG2" s="104"/>
      <c r="GH2" s="104"/>
      <c r="GI2" s="104"/>
      <c r="GJ2" s="104"/>
      <c r="GK2" s="104"/>
      <c r="GL2" s="104"/>
      <c r="GM2" s="104"/>
      <c r="GN2" s="104"/>
      <c r="GO2" s="104"/>
      <c r="GP2" s="104"/>
      <c r="GQ2" s="104"/>
      <c r="GR2" s="104"/>
      <c r="GS2" s="104"/>
      <c r="GT2" s="104"/>
      <c r="GU2" s="104"/>
      <c r="GV2" s="104"/>
      <c r="GW2" s="104"/>
      <c r="GX2" s="104"/>
      <c r="GY2" s="104"/>
      <c r="GZ2" s="104"/>
      <c r="HA2" s="104"/>
      <c r="HB2" s="104"/>
      <c r="HC2" s="104"/>
      <c r="HD2" s="104"/>
      <c r="HE2" s="104"/>
      <c r="HF2" s="104"/>
      <c r="HG2" s="104"/>
      <c r="HH2" s="104"/>
      <c r="HI2" s="104"/>
      <c r="HJ2" s="104"/>
      <c r="HK2" s="104"/>
      <c r="HL2" s="104"/>
      <c r="HM2" s="104"/>
      <c r="HN2" s="104"/>
      <c r="HO2" s="104"/>
      <c r="HP2" s="104"/>
      <c r="HQ2" s="104"/>
      <c r="HR2" s="104"/>
      <c r="HS2" s="104"/>
      <c r="HT2" s="104"/>
      <c r="HU2" s="104"/>
      <c r="HV2" s="104"/>
      <c r="HW2" s="104"/>
      <c r="HX2" s="104"/>
      <c r="HY2" s="104"/>
      <c r="HZ2" s="104"/>
      <c r="IA2" s="104"/>
      <c r="IB2" s="104"/>
      <c r="IC2" s="104"/>
      <c r="ID2" s="104"/>
      <c r="IE2" s="104"/>
      <c r="IF2" s="104"/>
      <c r="IG2" s="104"/>
      <c r="IH2" s="104"/>
      <c r="II2" s="104"/>
      <c r="IJ2" s="104"/>
      <c r="IK2" s="104"/>
      <c r="IL2" s="104"/>
      <c r="IM2" s="104"/>
      <c r="IN2" s="104"/>
      <c r="IO2" s="104"/>
      <c r="IP2" s="104"/>
      <c r="IQ2" s="104"/>
      <c r="IR2" s="104"/>
      <c r="IS2" s="104"/>
      <c r="IT2" s="104"/>
      <c r="IU2" s="104"/>
      <c r="IV2" s="104"/>
      <c r="IW2" s="104"/>
      <c r="IX2" s="104"/>
      <c r="IY2" s="104"/>
      <c r="IZ2" s="104"/>
      <c r="JA2" s="104"/>
      <c r="JB2" s="104"/>
      <c r="JC2" s="104"/>
      <c r="JD2" s="104"/>
      <c r="JE2" s="104"/>
      <c r="JF2" s="104"/>
      <c r="JG2" s="104"/>
      <c r="JH2" s="104"/>
      <c r="JI2" s="104"/>
      <c r="JJ2" s="104"/>
      <c r="JK2" s="104"/>
      <c r="JL2" s="104"/>
      <c r="JM2" s="104"/>
      <c r="JN2" s="104"/>
      <c r="JO2" s="104"/>
      <c r="JP2" s="104"/>
      <c r="JQ2" s="104"/>
      <c r="JR2" s="104"/>
      <c r="JS2" s="104"/>
      <c r="JT2" s="104"/>
      <c r="JU2" s="104"/>
      <c r="JV2" s="104"/>
      <c r="JW2" s="104"/>
      <c r="JX2" s="104"/>
      <c r="JY2" s="104"/>
      <c r="JZ2" s="104"/>
      <c r="KA2" s="104"/>
      <c r="KB2" s="104"/>
      <c r="KC2" s="104"/>
      <c r="KD2" s="104"/>
      <c r="KE2" s="104"/>
      <c r="KF2" s="104"/>
      <c r="KG2" s="104"/>
      <c r="KH2" s="104"/>
      <c r="KI2" s="104"/>
      <c r="KJ2" s="104"/>
      <c r="KK2" s="104"/>
      <c r="KL2" s="104"/>
      <c r="KM2" s="104"/>
      <c r="KN2" s="104"/>
      <c r="KO2" s="104"/>
      <c r="KP2" s="104"/>
      <c r="KQ2" s="104"/>
      <c r="KR2" s="104"/>
      <c r="KS2" s="104"/>
      <c r="KT2" s="104"/>
      <c r="KU2" s="104"/>
      <c r="KV2" s="104"/>
      <c r="KW2" s="104"/>
      <c r="KX2" s="104"/>
      <c r="KY2" s="104"/>
      <c r="KZ2" s="104"/>
      <c r="LA2" s="104"/>
      <c r="LB2" s="104"/>
      <c r="LC2" s="104"/>
      <c r="LD2" s="104"/>
      <c r="LE2" s="104"/>
      <c r="LF2" s="104"/>
      <c r="LG2" s="104"/>
      <c r="LH2" s="104"/>
      <c r="LI2" s="104"/>
      <c r="LJ2" s="104"/>
      <c r="LK2" s="104"/>
      <c r="LL2" s="104"/>
      <c r="LM2" s="104"/>
      <c r="LN2" s="104"/>
      <c r="LO2" s="104"/>
      <c r="LP2" s="104"/>
      <c r="LQ2" s="104"/>
      <c r="LR2" s="104"/>
      <c r="LS2" s="104"/>
      <c r="LT2" s="104"/>
      <c r="LU2" s="104"/>
      <c r="LV2" s="104"/>
      <c r="LW2" s="104"/>
      <c r="LX2" s="104"/>
      <c r="LY2" s="104"/>
      <c r="XFD2" s="110"/>
    </row>
    <row r="3" s="104" customFormat="1" ht="20.449999999999999" customHeight="1">
      <c r="A3" s="111" t="s">
        <v>308</v>
      </c>
      <c r="B3" s="112"/>
      <c r="C3" s="113"/>
      <c r="D3" s="114"/>
      <c r="E3" s="115"/>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c r="FA3" s="104"/>
      <c r="FB3" s="104"/>
      <c r="FC3" s="104"/>
      <c r="FD3" s="104"/>
      <c r="FE3" s="104"/>
      <c r="FF3" s="104"/>
      <c r="FG3" s="104"/>
      <c r="FH3" s="104"/>
      <c r="FI3" s="104"/>
      <c r="FJ3" s="104"/>
      <c r="FK3" s="104"/>
      <c r="FL3" s="104"/>
      <c r="FM3" s="104"/>
      <c r="FN3" s="104"/>
      <c r="FO3" s="104"/>
      <c r="FP3" s="104"/>
      <c r="FQ3" s="104"/>
      <c r="FR3" s="104"/>
      <c r="FS3" s="104"/>
      <c r="FT3" s="104"/>
      <c r="FU3" s="104"/>
      <c r="FV3" s="104"/>
      <c r="FW3" s="104"/>
      <c r="FX3" s="104"/>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104"/>
      <c r="HG3" s="104"/>
      <c r="HH3" s="104"/>
      <c r="HI3" s="104"/>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c r="IK3" s="104"/>
      <c r="IL3" s="104"/>
      <c r="IM3" s="104"/>
      <c r="IN3" s="104"/>
      <c r="IO3" s="104"/>
      <c r="IP3" s="104"/>
      <c r="IQ3" s="104"/>
      <c r="IR3" s="104"/>
      <c r="IS3" s="104"/>
      <c r="IT3" s="104"/>
      <c r="IU3" s="104"/>
      <c r="IV3" s="104"/>
      <c r="IW3" s="104"/>
      <c r="IX3" s="104"/>
      <c r="IY3" s="104"/>
      <c r="IZ3" s="104"/>
      <c r="JA3" s="104"/>
      <c r="JB3" s="104"/>
      <c r="JC3" s="104"/>
      <c r="JD3" s="104"/>
      <c r="JE3" s="104"/>
      <c r="JF3" s="104"/>
      <c r="JG3" s="104"/>
      <c r="JH3" s="104"/>
      <c r="JI3" s="104"/>
      <c r="JJ3" s="104"/>
      <c r="JK3" s="104"/>
      <c r="JL3" s="104"/>
      <c r="JM3" s="104"/>
      <c r="JN3" s="104"/>
      <c r="JO3" s="104"/>
      <c r="JP3" s="104"/>
      <c r="JQ3" s="104"/>
      <c r="JR3" s="104"/>
      <c r="JS3" s="104"/>
      <c r="JT3" s="104"/>
      <c r="JU3" s="104"/>
      <c r="JV3" s="104"/>
      <c r="JW3" s="104"/>
      <c r="JX3" s="104"/>
      <c r="JY3" s="104"/>
      <c r="JZ3" s="104"/>
      <c r="KA3" s="104"/>
      <c r="KB3" s="104"/>
      <c r="KC3" s="104"/>
      <c r="KD3" s="104"/>
      <c r="KE3" s="104"/>
      <c r="KF3" s="104"/>
      <c r="KG3" s="104"/>
      <c r="KH3" s="104"/>
      <c r="KI3" s="104"/>
      <c r="KJ3" s="104"/>
      <c r="KK3" s="104"/>
      <c r="KL3" s="104"/>
      <c r="KM3" s="104"/>
      <c r="KN3" s="104"/>
      <c r="KO3" s="104"/>
      <c r="KP3" s="104"/>
      <c r="KQ3" s="104"/>
      <c r="KR3" s="104"/>
      <c r="KS3" s="104"/>
      <c r="KT3" s="104"/>
      <c r="KU3" s="104"/>
      <c r="KV3" s="104"/>
      <c r="KW3" s="104"/>
      <c r="KX3" s="104"/>
      <c r="KY3" s="104"/>
      <c r="KZ3" s="104"/>
      <c r="LA3" s="104"/>
      <c r="LB3" s="104"/>
      <c r="LC3" s="104"/>
      <c r="LD3" s="104"/>
      <c r="LE3" s="104"/>
      <c r="LF3" s="104"/>
      <c r="LG3" s="104"/>
      <c r="LH3" s="104"/>
      <c r="LI3" s="104"/>
      <c r="LJ3" s="104"/>
      <c r="LK3" s="104"/>
      <c r="LL3" s="104"/>
      <c r="LM3" s="104"/>
      <c r="LN3" s="104"/>
      <c r="LO3" s="104"/>
      <c r="LP3" s="104"/>
      <c r="LQ3" s="104"/>
      <c r="LR3" s="104"/>
      <c r="LS3" s="104"/>
      <c r="LT3" s="104"/>
      <c r="LU3" s="104"/>
      <c r="LV3" s="104"/>
      <c r="LW3" s="104"/>
      <c r="LX3" s="104"/>
      <c r="LY3" s="104"/>
      <c r="XFD3" s="110"/>
    </row>
    <row r="4" ht="15" customHeight="1">
      <c r="A4" s="116"/>
      <c r="B4" s="103"/>
      <c r="C4" s="116"/>
      <c r="D4" s="103"/>
      <c r="E4" s="117"/>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c r="ER4" s="102"/>
      <c r="ES4" s="102"/>
      <c r="ET4" s="102"/>
      <c r="EU4" s="102"/>
      <c r="EV4" s="102"/>
      <c r="EW4" s="102"/>
      <c r="EX4" s="102"/>
      <c r="EY4" s="102"/>
      <c r="EZ4" s="102"/>
      <c r="FA4" s="102"/>
      <c r="FB4" s="102"/>
      <c r="FC4" s="102"/>
      <c r="FD4" s="102"/>
      <c r="FE4" s="102"/>
      <c r="FF4" s="102"/>
      <c r="FG4" s="102"/>
      <c r="FH4" s="102"/>
      <c r="FI4" s="102"/>
      <c r="FJ4" s="102"/>
      <c r="FK4" s="102"/>
      <c r="FL4" s="102"/>
      <c r="FM4" s="102"/>
      <c r="FN4" s="102"/>
      <c r="FO4" s="102"/>
      <c r="FP4" s="102"/>
      <c r="FQ4" s="102"/>
      <c r="FR4" s="102"/>
      <c r="FS4" s="102"/>
      <c r="FT4" s="102"/>
      <c r="FU4" s="102"/>
      <c r="FV4" s="102"/>
      <c r="FW4" s="102"/>
      <c r="FX4" s="102"/>
      <c r="FY4" s="102"/>
      <c r="FZ4" s="102"/>
      <c r="GA4" s="102"/>
      <c r="GB4" s="102"/>
      <c r="GC4" s="102"/>
      <c r="GD4" s="102"/>
      <c r="GE4" s="102"/>
      <c r="GF4" s="102"/>
      <c r="GG4" s="102"/>
      <c r="GH4" s="102"/>
      <c r="GI4" s="102"/>
      <c r="GJ4" s="102"/>
      <c r="GK4" s="102"/>
      <c r="GL4" s="102"/>
      <c r="GM4" s="102"/>
      <c r="GN4" s="102"/>
      <c r="GO4" s="102"/>
      <c r="GP4" s="102"/>
      <c r="GQ4" s="102"/>
      <c r="GR4" s="102"/>
      <c r="GS4" s="102"/>
      <c r="GT4" s="102"/>
      <c r="GU4" s="102"/>
      <c r="GV4" s="102"/>
      <c r="GW4" s="102"/>
      <c r="GX4" s="102"/>
      <c r="GY4" s="102"/>
      <c r="GZ4" s="102"/>
      <c r="HA4" s="102"/>
      <c r="HB4" s="102"/>
      <c r="HC4" s="102"/>
      <c r="HD4" s="102"/>
      <c r="HE4" s="102"/>
      <c r="HF4" s="102"/>
      <c r="HG4" s="102"/>
      <c r="HH4" s="102"/>
      <c r="HI4" s="102"/>
      <c r="HJ4" s="102"/>
      <c r="HK4" s="102"/>
      <c r="HL4" s="102"/>
      <c r="HM4" s="102"/>
      <c r="HN4" s="102"/>
      <c r="HO4" s="102"/>
      <c r="HP4" s="102"/>
      <c r="HQ4" s="102"/>
      <c r="HR4" s="102"/>
      <c r="HS4" s="102"/>
      <c r="HT4" s="102"/>
      <c r="HU4" s="102"/>
      <c r="HV4" s="102"/>
      <c r="HW4" s="102"/>
      <c r="HX4" s="102"/>
      <c r="HY4" s="102"/>
      <c r="HZ4" s="102"/>
      <c r="IA4" s="102"/>
      <c r="IB4" s="102"/>
      <c r="IC4" s="102"/>
      <c r="ID4" s="102"/>
      <c r="IE4" s="102"/>
      <c r="IF4" s="102"/>
      <c r="IG4" s="102"/>
      <c r="IH4" s="102"/>
      <c r="II4" s="102"/>
      <c r="IJ4" s="102"/>
      <c r="IK4" s="102"/>
      <c r="IL4" s="102"/>
      <c r="IM4" s="102"/>
      <c r="IN4" s="102"/>
      <c r="IO4" s="102"/>
      <c r="IP4" s="102"/>
      <c r="IQ4" s="102"/>
      <c r="IR4" s="102"/>
      <c r="IS4" s="102"/>
      <c r="IT4" s="102"/>
      <c r="IU4" s="102"/>
      <c r="IV4" s="102"/>
      <c r="IW4" s="102"/>
      <c r="IX4" s="102"/>
      <c r="IY4" s="102"/>
      <c r="IZ4" s="102"/>
      <c r="JA4" s="102"/>
      <c r="JB4" s="102"/>
      <c r="JC4" s="102"/>
      <c r="JD4" s="102"/>
      <c r="JE4" s="102"/>
      <c r="JF4" s="102"/>
      <c r="JG4" s="102"/>
      <c r="JH4" s="102"/>
      <c r="JI4" s="102"/>
      <c r="JJ4" s="102"/>
      <c r="JK4" s="102"/>
      <c r="JL4" s="102"/>
      <c r="JM4" s="102"/>
      <c r="JN4" s="102"/>
      <c r="JO4" s="102"/>
      <c r="JP4" s="102"/>
      <c r="JQ4" s="102"/>
      <c r="JR4" s="102"/>
      <c r="JS4" s="102"/>
      <c r="JT4" s="102"/>
      <c r="JU4" s="102"/>
      <c r="JV4" s="102"/>
      <c r="JW4" s="102"/>
      <c r="JX4" s="102"/>
      <c r="JY4" s="102"/>
      <c r="JZ4" s="102"/>
      <c r="KA4" s="102"/>
      <c r="KB4" s="102"/>
      <c r="KC4" s="102"/>
      <c r="KD4" s="102"/>
      <c r="KE4" s="102"/>
      <c r="KF4" s="102"/>
      <c r="KG4" s="102"/>
      <c r="KH4" s="102"/>
      <c r="KI4" s="102"/>
      <c r="KJ4" s="102"/>
      <c r="KK4" s="102"/>
      <c r="KL4" s="102"/>
      <c r="KM4" s="102"/>
      <c r="KN4" s="102"/>
      <c r="KO4" s="102"/>
      <c r="KP4" s="102"/>
      <c r="KQ4" s="102"/>
      <c r="KR4" s="102"/>
      <c r="KS4" s="102"/>
      <c r="KT4" s="102"/>
      <c r="KU4" s="102"/>
      <c r="KV4" s="102"/>
      <c r="KW4" s="102"/>
      <c r="KX4" s="102"/>
      <c r="KY4" s="102"/>
      <c r="KZ4" s="102"/>
      <c r="LA4" s="102"/>
      <c r="LB4" s="102"/>
      <c r="LC4" s="102"/>
      <c r="LD4" s="102"/>
      <c r="LE4" s="102"/>
      <c r="LF4" s="102"/>
      <c r="LG4" s="102"/>
      <c r="LH4" s="102"/>
      <c r="LI4" s="102"/>
      <c r="LJ4" s="102"/>
      <c r="LK4" s="102"/>
      <c r="LL4" s="102"/>
      <c r="LM4" s="102"/>
      <c r="LN4" s="102"/>
      <c r="LO4" s="102"/>
      <c r="LP4" s="102"/>
      <c r="LQ4" s="102"/>
      <c r="LR4" s="102"/>
      <c r="LS4" s="102"/>
      <c r="LT4" s="102"/>
      <c r="LU4" s="102"/>
      <c r="LV4" s="102"/>
      <c r="LW4" s="102"/>
      <c r="LX4" s="102"/>
      <c r="LY4" s="102"/>
    </row>
    <row r="5" ht="19.5" customHeight="1">
      <c r="A5" s="118" t="s">
        <v>309</v>
      </c>
      <c r="B5" s="118"/>
      <c r="C5" s="118"/>
      <c r="D5" s="118"/>
      <c r="E5" s="118"/>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02"/>
      <c r="GU5" s="102"/>
      <c r="GV5" s="102"/>
      <c r="GW5" s="102"/>
      <c r="GX5" s="102"/>
      <c r="GY5" s="102"/>
      <c r="GZ5" s="102"/>
      <c r="HA5" s="102"/>
      <c r="HB5" s="102"/>
      <c r="HC5" s="102"/>
      <c r="HD5" s="102"/>
      <c r="HE5" s="102"/>
      <c r="HF5" s="102"/>
      <c r="HG5" s="102"/>
      <c r="HH5" s="102"/>
      <c r="HI5" s="102"/>
      <c r="HJ5" s="102"/>
      <c r="HK5" s="102"/>
      <c r="HL5" s="102"/>
      <c r="HM5" s="102"/>
      <c r="HN5" s="102"/>
      <c r="HO5" s="102"/>
      <c r="HP5" s="102"/>
      <c r="HQ5" s="102"/>
      <c r="HR5" s="102"/>
      <c r="HS5" s="102"/>
      <c r="HT5" s="102"/>
      <c r="HU5" s="102"/>
      <c r="HV5" s="102"/>
      <c r="HW5" s="102"/>
      <c r="HX5" s="102"/>
      <c r="HY5" s="102"/>
      <c r="HZ5" s="102"/>
      <c r="IA5" s="102"/>
      <c r="IB5" s="102"/>
      <c r="IC5" s="102"/>
      <c r="ID5" s="102"/>
      <c r="IE5" s="102"/>
      <c r="IF5" s="102"/>
      <c r="IG5" s="102"/>
      <c r="IH5" s="102"/>
      <c r="II5" s="102"/>
      <c r="IJ5" s="102"/>
      <c r="IK5" s="102"/>
      <c r="IL5" s="102"/>
      <c r="IM5" s="102"/>
      <c r="IN5" s="102"/>
      <c r="IO5" s="102"/>
      <c r="IP5" s="102"/>
      <c r="IQ5" s="102"/>
      <c r="IR5" s="102"/>
      <c r="IS5" s="102"/>
      <c r="IT5" s="102"/>
      <c r="IU5" s="102"/>
      <c r="IV5" s="102"/>
      <c r="IW5" s="102"/>
      <c r="IX5" s="102"/>
      <c r="IY5" s="102"/>
      <c r="IZ5" s="102"/>
      <c r="JA5" s="102"/>
      <c r="JB5" s="102"/>
      <c r="JC5" s="102"/>
      <c r="JD5" s="102"/>
      <c r="JE5" s="102"/>
      <c r="JF5" s="102"/>
      <c r="JG5" s="102"/>
      <c r="JH5" s="102"/>
      <c r="JI5" s="102"/>
      <c r="JJ5" s="102"/>
      <c r="JK5" s="102"/>
      <c r="JL5" s="102"/>
      <c r="JM5" s="102"/>
      <c r="JN5" s="102"/>
      <c r="JO5" s="102"/>
      <c r="JP5" s="102"/>
      <c r="JQ5" s="102"/>
      <c r="JR5" s="102"/>
      <c r="JS5" s="102"/>
      <c r="JT5" s="102"/>
      <c r="JU5" s="102"/>
      <c r="JV5" s="102"/>
      <c r="JW5" s="102"/>
      <c r="JX5" s="102"/>
      <c r="JY5" s="102"/>
      <c r="JZ5" s="102"/>
      <c r="KA5" s="102"/>
      <c r="KB5" s="102"/>
      <c r="KC5" s="102"/>
      <c r="KD5" s="102"/>
      <c r="KE5" s="102"/>
      <c r="KF5" s="102"/>
      <c r="KG5" s="102"/>
      <c r="KH5" s="102"/>
      <c r="KI5" s="102"/>
      <c r="KJ5" s="102"/>
      <c r="KK5" s="102"/>
      <c r="KL5" s="102"/>
      <c r="KM5" s="102"/>
      <c r="KN5" s="102"/>
      <c r="KO5" s="102"/>
      <c r="KP5" s="102"/>
      <c r="KQ5" s="102"/>
      <c r="KR5" s="102"/>
      <c r="KS5" s="102"/>
      <c r="KT5" s="102"/>
      <c r="KU5" s="102"/>
      <c r="KV5" s="102"/>
      <c r="KW5" s="102"/>
      <c r="KX5" s="102"/>
      <c r="KY5" s="102"/>
      <c r="KZ5" s="102"/>
      <c r="LA5" s="102"/>
      <c r="LB5" s="102"/>
      <c r="LC5" s="102"/>
      <c r="LD5" s="102"/>
      <c r="LE5" s="102"/>
      <c r="LF5" s="102"/>
      <c r="LG5" s="102"/>
      <c r="LH5" s="102"/>
      <c r="LI5" s="102"/>
      <c r="LJ5" s="102"/>
      <c r="LK5" s="102"/>
      <c r="LL5" s="102"/>
      <c r="LM5" s="102"/>
      <c r="LN5" s="102"/>
      <c r="LO5" s="102"/>
      <c r="LP5" s="102"/>
      <c r="LQ5" s="102"/>
      <c r="LR5" s="102"/>
      <c r="LS5" s="102"/>
      <c r="LT5" s="102"/>
      <c r="LU5" s="102"/>
      <c r="LV5" s="102"/>
      <c r="LW5" s="102"/>
      <c r="LX5" s="102"/>
      <c r="LY5" s="102"/>
    </row>
    <row r="6" s="119" customFormat="1" ht="36.350000000000001" customHeight="1">
      <c r="A6" s="120" t="s">
        <v>310</v>
      </c>
      <c r="B6" s="120" t="s">
        <v>311</v>
      </c>
      <c r="C6" s="120" t="s">
        <v>312</v>
      </c>
      <c r="D6" s="120" t="s">
        <v>313</v>
      </c>
      <c r="E6" s="120" t="s">
        <v>314</v>
      </c>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c r="CI6" s="121"/>
      <c r="CJ6" s="121"/>
      <c r="CK6" s="121"/>
      <c r="CL6" s="121"/>
      <c r="CM6" s="121"/>
      <c r="CN6" s="121"/>
      <c r="CO6" s="121"/>
      <c r="CP6" s="121"/>
      <c r="CQ6" s="121"/>
      <c r="CR6" s="121"/>
      <c r="CS6" s="121"/>
      <c r="CT6" s="121"/>
      <c r="CU6" s="121"/>
      <c r="CV6" s="121"/>
      <c r="CW6" s="121"/>
      <c r="CX6" s="121"/>
      <c r="CY6" s="121"/>
      <c r="CZ6" s="121"/>
      <c r="DA6" s="121"/>
      <c r="DB6" s="121"/>
      <c r="DC6" s="121"/>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1"/>
      <c r="EC6" s="121"/>
      <c r="ED6" s="121"/>
      <c r="EE6" s="121"/>
      <c r="EF6" s="121"/>
      <c r="EG6" s="121"/>
      <c r="EH6" s="121"/>
      <c r="EI6" s="121"/>
      <c r="EJ6" s="121"/>
      <c r="EK6" s="121"/>
      <c r="EL6" s="121"/>
      <c r="EM6" s="121"/>
      <c r="EN6" s="121"/>
      <c r="EO6" s="121"/>
      <c r="EP6" s="121"/>
      <c r="EQ6" s="121"/>
      <c r="ER6" s="121"/>
      <c r="ES6" s="121"/>
      <c r="ET6" s="121"/>
      <c r="EU6" s="121"/>
      <c r="EV6" s="121"/>
      <c r="EW6" s="121"/>
      <c r="EX6" s="121"/>
      <c r="EY6" s="121"/>
      <c r="EZ6" s="121"/>
      <c r="FA6" s="121"/>
      <c r="FB6" s="121"/>
      <c r="FC6" s="121"/>
      <c r="FD6" s="121"/>
      <c r="FE6" s="121"/>
      <c r="FF6" s="121"/>
      <c r="FG6" s="121"/>
      <c r="FH6" s="121"/>
      <c r="FI6" s="121"/>
      <c r="FJ6" s="121"/>
      <c r="FK6" s="121"/>
      <c r="FL6" s="121"/>
      <c r="FM6" s="121"/>
      <c r="FN6" s="121"/>
      <c r="FO6" s="121"/>
      <c r="FP6" s="121"/>
      <c r="FQ6" s="121"/>
      <c r="FR6" s="121"/>
      <c r="FS6" s="121"/>
      <c r="FT6" s="121"/>
      <c r="FU6" s="121"/>
      <c r="FV6" s="121"/>
      <c r="FW6" s="121"/>
      <c r="FX6" s="121"/>
      <c r="FY6" s="121"/>
      <c r="FZ6" s="121"/>
      <c r="GA6" s="121"/>
      <c r="GB6" s="121"/>
      <c r="GC6" s="121"/>
      <c r="GD6" s="121"/>
      <c r="GE6" s="121"/>
      <c r="GF6" s="121"/>
      <c r="GG6" s="121"/>
      <c r="GH6" s="121"/>
      <c r="GI6" s="121"/>
      <c r="GJ6" s="121"/>
      <c r="GK6" s="121"/>
      <c r="GL6" s="121"/>
      <c r="GM6" s="121"/>
      <c r="GN6" s="121"/>
      <c r="GO6" s="121"/>
      <c r="GP6" s="121"/>
      <c r="GQ6" s="121"/>
      <c r="GR6" s="121"/>
      <c r="GS6" s="121"/>
      <c r="GT6" s="121"/>
      <c r="GU6" s="121"/>
      <c r="GV6" s="121"/>
      <c r="GW6" s="121"/>
      <c r="GX6" s="121"/>
      <c r="GY6" s="121"/>
      <c r="GZ6" s="121"/>
      <c r="HA6" s="121"/>
      <c r="HB6" s="121"/>
      <c r="HC6" s="121"/>
      <c r="HD6" s="121"/>
      <c r="HE6" s="121"/>
      <c r="HF6" s="121"/>
      <c r="HG6" s="121"/>
      <c r="HH6" s="121"/>
      <c r="HI6" s="121"/>
      <c r="HJ6" s="121"/>
      <c r="HK6" s="121"/>
      <c r="HL6" s="121"/>
      <c r="HM6" s="121"/>
      <c r="HN6" s="121"/>
      <c r="HO6" s="121"/>
      <c r="HP6" s="121"/>
      <c r="HQ6" s="121"/>
      <c r="HR6" s="121"/>
      <c r="HS6" s="121"/>
      <c r="HT6" s="121"/>
      <c r="HU6" s="121"/>
      <c r="HV6" s="121"/>
      <c r="HW6" s="121"/>
      <c r="HX6" s="121"/>
      <c r="HY6" s="121"/>
      <c r="HZ6" s="121"/>
      <c r="IA6" s="121"/>
      <c r="IB6" s="121"/>
      <c r="IC6" s="121"/>
      <c r="ID6" s="121"/>
      <c r="IE6" s="121"/>
      <c r="IF6" s="121"/>
      <c r="IG6" s="121"/>
      <c r="IH6" s="121"/>
      <c r="II6" s="121"/>
      <c r="IJ6" s="121"/>
      <c r="IK6" s="121"/>
      <c r="IL6" s="121"/>
      <c r="IM6" s="121"/>
      <c r="IN6" s="121"/>
      <c r="IO6" s="121"/>
      <c r="IP6" s="121"/>
      <c r="IQ6" s="121"/>
      <c r="IR6" s="121"/>
      <c r="IS6" s="121"/>
      <c r="IT6" s="121"/>
      <c r="IU6" s="121"/>
      <c r="IV6" s="121"/>
      <c r="IW6" s="121"/>
      <c r="IX6" s="121"/>
      <c r="IY6" s="121"/>
      <c r="IZ6" s="121"/>
      <c r="JA6" s="121"/>
      <c r="JB6" s="121"/>
      <c r="JC6" s="121"/>
      <c r="JD6" s="121"/>
      <c r="JE6" s="121"/>
      <c r="JF6" s="121"/>
      <c r="JG6" s="121"/>
      <c r="JH6" s="121"/>
      <c r="JI6" s="121"/>
      <c r="JJ6" s="121"/>
      <c r="JK6" s="121"/>
      <c r="JL6" s="121"/>
      <c r="JM6" s="121"/>
      <c r="JN6" s="121"/>
      <c r="JO6" s="121"/>
      <c r="JP6" s="121"/>
      <c r="JQ6" s="121"/>
      <c r="JR6" s="121"/>
      <c r="JS6" s="121"/>
      <c r="JT6" s="121"/>
      <c r="JU6" s="121"/>
      <c r="JV6" s="121"/>
      <c r="JW6" s="121"/>
      <c r="JX6" s="121"/>
      <c r="JY6" s="121"/>
      <c r="JZ6" s="121"/>
      <c r="KA6" s="121"/>
      <c r="KB6" s="121"/>
      <c r="KC6" s="121"/>
      <c r="KD6" s="121"/>
      <c r="KE6" s="121"/>
      <c r="KF6" s="121"/>
      <c r="KG6" s="121"/>
      <c r="KH6" s="121"/>
      <c r="KI6" s="121"/>
      <c r="KJ6" s="121"/>
      <c r="KK6" s="121"/>
      <c r="KL6" s="121"/>
      <c r="KM6" s="121"/>
      <c r="KN6" s="121"/>
      <c r="KO6" s="121"/>
      <c r="KP6" s="121"/>
      <c r="KQ6" s="121"/>
      <c r="KR6" s="121"/>
      <c r="KS6" s="121"/>
      <c r="KT6" s="121"/>
      <c r="KU6" s="121"/>
      <c r="KV6" s="121"/>
      <c r="KW6" s="121"/>
      <c r="KX6" s="121"/>
      <c r="KY6" s="121"/>
      <c r="KZ6" s="121"/>
      <c r="LA6" s="121"/>
      <c r="LB6" s="121"/>
      <c r="LC6" s="121"/>
      <c r="LD6" s="121"/>
      <c r="LE6" s="121"/>
      <c r="LF6" s="121"/>
      <c r="LG6" s="121"/>
      <c r="LH6" s="121"/>
      <c r="LI6" s="121"/>
      <c r="LJ6" s="121"/>
      <c r="LK6" s="121"/>
      <c r="LL6" s="121"/>
      <c r="LM6" s="121"/>
      <c r="LN6" s="121"/>
      <c r="LO6" s="121"/>
      <c r="LP6" s="121"/>
      <c r="LQ6" s="121"/>
      <c r="LR6" s="121"/>
      <c r="LS6" s="121"/>
      <c r="LT6" s="121"/>
      <c r="LU6" s="121"/>
      <c r="LV6" s="121"/>
      <c r="LW6" s="121"/>
      <c r="LX6" s="121"/>
      <c r="LY6" s="121"/>
    </row>
    <row r="7" s="122" customFormat="1" ht="18" customHeight="1">
      <c r="A7" s="123" t="s">
        <v>246</v>
      </c>
      <c r="B7" s="124">
        <f>COUNTIF('2. Yes-No Checklist'!E6,"Y")+COUNTIF('2. Yes-No Checklist'!E12,"Y")+COUNTIF('2. Yes-No Checklist'!E18,"Y")+COUNTIF('2. Yes-No Checklist'!E24,"Y")+COUNTIF('2. Yes-No Checklist'!E30,"Y")+COUNTIF('2. Yes-No Checklist'!E36,"Y")+COUNTIF('2. Yes-No Checklist'!E42,"Y")+COUNTIF('2. Yes-No Checklist'!E48,"Y")</f>
        <v>0</v>
      </c>
      <c r="C7" s="125">
        <f>8-(COUNTIF('2. Yes-No Checklist'!E6,"NA")+COUNTIF('2. Yes-No Checklist'!E12,"NA")+COUNTIF('2. Yes-No Checklist'!E18,"NA")+COUNTIF('2. Yes-No Checklist'!E24,"NA")+COUNTIF('2. Yes-No Checklist'!E30,"NA")+COUNTIF('2. Yes-No Checklist'!E36,"NA")+COUNTIF('2. Yes-No Checklist'!E42,"NA")+COUNTIF('2. Yes-No Checklist'!E48,"NA"))</f>
        <v>8</v>
      </c>
      <c r="D7" s="126">
        <f t="shared" ref="D7:D10" si="0">IFERROR(B7/C7,0)</f>
        <v>0</v>
      </c>
      <c r="E7" s="127" t="str">
        <f t="shared" ref="E7:E10" si="1">IF(D7&gt;=0.75,"Integrated ≥75%",IF(D7&gt;=0.5,"Partially Integrated 50–74%","Not Integrated &lt;50%"))</f>
        <v xml:space="preserve">Not Integrated &lt;50%</v>
      </c>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2"/>
      <c r="FO7" s="102"/>
      <c r="FP7" s="102"/>
      <c r="FQ7" s="102"/>
      <c r="FR7" s="102"/>
      <c r="FS7" s="102"/>
      <c r="FT7" s="102"/>
      <c r="FU7" s="102"/>
      <c r="FV7" s="102"/>
      <c r="FW7" s="102"/>
      <c r="FX7" s="102"/>
      <c r="FY7" s="102"/>
      <c r="FZ7" s="102"/>
      <c r="GA7" s="102"/>
      <c r="GB7" s="102"/>
      <c r="GC7" s="102"/>
      <c r="GD7" s="102"/>
      <c r="GE7" s="102"/>
      <c r="GF7" s="102"/>
      <c r="GG7" s="102"/>
      <c r="GH7" s="102"/>
      <c r="GI7" s="102"/>
      <c r="GJ7" s="102"/>
      <c r="GK7" s="102"/>
      <c r="GL7" s="102"/>
      <c r="GM7" s="102"/>
      <c r="GN7" s="102"/>
      <c r="GO7" s="102"/>
      <c r="GP7" s="102"/>
      <c r="GQ7" s="102"/>
      <c r="GR7" s="102"/>
      <c r="GS7" s="102"/>
      <c r="GT7" s="102"/>
      <c r="GU7" s="102"/>
      <c r="GV7" s="102"/>
      <c r="GW7" s="102"/>
      <c r="GX7" s="102"/>
      <c r="GY7" s="102"/>
      <c r="GZ7" s="102"/>
      <c r="HA7" s="102"/>
      <c r="HB7" s="102"/>
      <c r="HC7" s="102"/>
      <c r="HD7" s="102"/>
      <c r="HE7" s="102"/>
      <c r="HF7" s="102"/>
      <c r="HG7" s="102"/>
      <c r="HH7" s="102"/>
      <c r="HI7" s="102"/>
      <c r="HJ7" s="102"/>
      <c r="HK7" s="102"/>
      <c r="HL7" s="102"/>
      <c r="HM7" s="102"/>
      <c r="HN7" s="102"/>
      <c r="HO7" s="102"/>
      <c r="HP7" s="102"/>
      <c r="HQ7" s="102"/>
      <c r="HR7" s="102"/>
      <c r="HS7" s="102"/>
      <c r="HT7" s="102"/>
      <c r="HU7" s="102"/>
      <c r="HV7" s="102"/>
      <c r="HW7" s="102"/>
      <c r="HX7" s="102"/>
      <c r="HY7" s="102"/>
      <c r="HZ7" s="102"/>
      <c r="IA7" s="102"/>
      <c r="IB7" s="102"/>
      <c r="IC7" s="102"/>
      <c r="ID7" s="102"/>
      <c r="IE7" s="102"/>
      <c r="IF7" s="102"/>
      <c r="IG7" s="102"/>
      <c r="IH7" s="102"/>
      <c r="II7" s="102"/>
      <c r="IJ7" s="102"/>
      <c r="IK7" s="102"/>
      <c r="IL7" s="102"/>
      <c r="IM7" s="102"/>
      <c r="IN7" s="102"/>
      <c r="IO7" s="102"/>
      <c r="IP7" s="102"/>
      <c r="IQ7" s="102"/>
      <c r="IR7" s="102"/>
      <c r="IS7" s="102"/>
      <c r="IT7" s="102"/>
      <c r="IU7" s="102"/>
      <c r="IV7" s="102"/>
      <c r="IW7" s="102"/>
      <c r="IX7" s="102"/>
      <c r="IY7" s="102"/>
      <c r="IZ7" s="102"/>
      <c r="JA7" s="102"/>
      <c r="JB7" s="102"/>
      <c r="JC7" s="102"/>
      <c r="JD7" s="102"/>
      <c r="JE7" s="102"/>
      <c r="JF7" s="102"/>
      <c r="JG7" s="102"/>
      <c r="JH7" s="102"/>
      <c r="JI7" s="102"/>
      <c r="JJ7" s="102"/>
      <c r="JK7" s="102"/>
      <c r="JL7" s="102"/>
      <c r="JM7" s="102"/>
      <c r="JN7" s="102"/>
      <c r="JO7" s="102"/>
      <c r="JP7" s="102"/>
      <c r="JQ7" s="102"/>
      <c r="JR7" s="102"/>
      <c r="JS7" s="102"/>
      <c r="JT7" s="102"/>
      <c r="JU7" s="102"/>
      <c r="JV7" s="102"/>
      <c r="JW7" s="102"/>
      <c r="JX7" s="102"/>
      <c r="JY7" s="102"/>
      <c r="JZ7" s="102"/>
      <c r="KA7" s="102"/>
      <c r="KB7" s="102"/>
      <c r="KC7" s="102"/>
      <c r="KD7" s="102"/>
      <c r="KE7" s="102"/>
      <c r="KF7" s="102"/>
      <c r="KG7" s="102"/>
      <c r="KH7" s="102"/>
      <c r="KI7" s="102"/>
      <c r="KJ7" s="102"/>
      <c r="KK7" s="102"/>
      <c r="KL7" s="102"/>
      <c r="KM7" s="102"/>
      <c r="KN7" s="102"/>
      <c r="KO7" s="102"/>
      <c r="KP7" s="102"/>
      <c r="KQ7" s="102"/>
      <c r="KR7" s="102"/>
      <c r="KS7" s="102"/>
      <c r="KT7" s="102"/>
      <c r="KU7" s="102"/>
      <c r="KV7" s="102"/>
      <c r="KW7" s="102"/>
      <c r="KX7" s="102"/>
      <c r="KY7" s="102"/>
      <c r="KZ7" s="102"/>
      <c r="LA7" s="102"/>
      <c r="LB7" s="102"/>
      <c r="LC7" s="102"/>
      <c r="LD7" s="102"/>
      <c r="LE7" s="102"/>
      <c r="LF7" s="102"/>
      <c r="LG7" s="102"/>
      <c r="LH7" s="102"/>
      <c r="LI7" s="102"/>
      <c r="LJ7" s="102"/>
      <c r="LK7" s="102"/>
      <c r="LL7" s="102"/>
      <c r="LM7" s="102"/>
      <c r="LN7" s="102"/>
      <c r="LO7" s="102"/>
      <c r="LP7" s="102"/>
      <c r="LQ7" s="102"/>
      <c r="LR7" s="102"/>
      <c r="LS7" s="102"/>
      <c r="LT7" s="102"/>
      <c r="LU7" s="102"/>
      <c r="LV7" s="102"/>
      <c r="LW7" s="102"/>
      <c r="LX7" s="102"/>
      <c r="LY7" s="102"/>
    </row>
    <row r="8" ht="18" customHeight="1">
      <c r="A8" s="123" t="s">
        <v>248</v>
      </c>
      <c r="B8" s="124">
        <f>COUNTIF('2. Yes-No Checklist'!E7,"Y")+COUNTIF('2. Yes-No Checklist'!E13,"Y")+COUNTIF('2. Yes-No Checklist'!E19,"Y")+COUNTIF('2. Yes-No Checklist'!E25,"Y")+COUNTIF('2. Yes-No Checklist'!E31,"Y")+COUNTIF('2. Yes-No Checklist'!E37,"Y")+COUNTIF('2. Yes-No Checklist'!E43,"Y")+COUNTIF('2. Yes-No Checklist'!E49,"Y")</f>
        <v>0</v>
      </c>
      <c r="C8" s="125">
        <f>8-(COUNTIF('2. Yes-No Checklist'!E7,"NA")+COUNTIF('2. Yes-No Checklist'!E13,"NA")+COUNTIF('2. Yes-No Checklist'!E19,"NA")+COUNTIF('2. Yes-No Checklist'!E25,"NA")+COUNTIF('2. Yes-No Checklist'!E31,"NA")+COUNTIF('2. Yes-No Checklist'!E37,"NA")+COUNTIF('2. Yes-No Checklist'!E43,"NA")+COUNTIF('2. Yes-No Checklist'!E49,"NA"))</f>
        <v>8</v>
      </c>
      <c r="D8" s="126">
        <f t="shared" si="0"/>
        <v>0</v>
      </c>
      <c r="E8" s="127" t="str">
        <f t="shared" si="1"/>
        <v xml:space="preserve">Not Integrated &lt;50%</v>
      </c>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c r="EO8" s="102"/>
      <c r="EP8" s="102"/>
      <c r="EQ8" s="102"/>
      <c r="ER8" s="102"/>
      <c r="ES8" s="102"/>
      <c r="ET8" s="102"/>
      <c r="EU8" s="102"/>
      <c r="EV8" s="102"/>
      <c r="EW8" s="102"/>
      <c r="EX8" s="102"/>
      <c r="EY8" s="102"/>
      <c r="EZ8" s="102"/>
      <c r="FA8" s="102"/>
      <c r="FB8" s="102"/>
      <c r="FC8" s="102"/>
      <c r="FD8" s="102"/>
      <c r="FE8" s="102"/>
      <c r="FF8" s="102"/>
      <c r="FG8" s="102"/>
      <c r="FH8" s="102"/>
      <c r="FI8" s="102"/>
      <c r="FJ8" s="102"/>
      <c r="FK8" s="102"/>
      <c r="FL8" s="102"/>
      <c r="FM8" s="102"/>
      <c r="FN8" s="102"/>
      <c r="FO8" s="102"/>
      <c r="FP8" s="102"/>
      <c r="FQ8" s="102"/>
      <c r="FR8" s="102"/>
      <c r="FS8" s="102"/>
      <c r="FT8" s="102"/>
      <c r="FU8" s="102"/>
      <c r="FV8" s="102"/>
      <c r="FW8" s="102"/>
      <c r="FX8" s="102"/>
      <c r="FY8" s="102"/>
      <c r="FZ8" s="102"/>
      <c r="GA8" s="102"/>
      <c r="GB8" s="102"/>
      <c r="GC8" s="102"/>
      <c r="GD8" s="102"/>
      <c r="GE8" s="102"/>
      <c r="GF8" s="102"/>
      <c r="GG8" s="102"/>
      <c r="GH8" s="102"/>
      <c r="GI8" s="102"/>
      <c r="GJ8" s="102"/>
      <c r="GK8" s="102"/>
      <c r="GL8" s="102"/>
      <c r="GM8" s="102"/>
      <c r="GN8" s="102"/>
      <c r="GO8" s="102"/>
      <c r="GP8" s="102"/>
      <c r="GQ8" s="102"/>
      <c r="GR8" s="102"/>
      <c r="GS8" s="102"/>
      <c r="GT8" s="102"/>
      <c r="GU8" s="102"/>
      <c r="GV8" s="102"/>
      <c r="GW8" s="102"/>
      <c r="GX8" s="102"/>
      <c r="GY8" s="102"/>
      <c r="GZ8" s="102"/>
      <c r="HA8" s="102"/>
      <c r="HB8" s="102"/>
      <c r="HC8" s="102"/>
      <c r="HD8" s="102"/>
      <c r="HE8" s="102"/>
      <c r="HF8" s="102"/>
      <c r="HG8" s="102"/>
      <c r="HH8" s="102"/>
      <c r="HI8" s="102"/>
      <c r="HJ8" s="102"/>
      <c r="HK8" s="102"/>
      <c r="HL8" s="102"/>
      <c r="HM8" s="102"/>
      <c r="HN8" s="102"/>
      <c r="HO8" s="102"/>
      <c r="HP8" s="102"/>
      <c r="HQ8" s="102"/>
      <c r="HR8" s="102"/>
      <c r="HS8" s="102"/>
      <c r="HT8" s="102"/>
      <c r="HU8" s="102"/>
      <c r="HV8" s="102"/>
      <c r="HW8" s="102"/>
      <c r="HX8" s="102"/>
      <c r="HY8" s="102"/>
      <c r="HZ8" s="102"/>
      <c r="IA8" s="102"/>
      <c r="IB8" s="102"/>
      <c r="IC8" s="102"/>
      <c r="ID8" s="102"/>
      <c r="IE8" s="102"/>
      <c r="IF8" s="102"/>
      <c r="IG8" s="102"/>
      <c r="IH8" s="102"/>
      <c r="II8" s="102"/>
      <c r="IJ8" s="102"/>
      <c r="IK8" s="102"/>
      <c r="IL8" s="102"/>
      <c r="IM8" s="102"/>
      <c r="IN8" s="102"/>
      <c r="IO8" s="102"/>
      <c r="IP8" s="102"/>
      <c r="IQ8" s="102"/>
      <c r="IR8" s="102"/>
      <c r="IS8" s="102"/>
      <c r="IT8" s="102"/>
      <c r="IU8" s="102"/>
      <c r="IV8" s="102"/>
      <c r="IW8" s="102"/>
      <c r="IX8" s="102"/>
      <c r="IY8" s="102"/>
      <c r="IZ8" s="102"/>
      <c r="JA8" s="102"/>
      <c r="JB8" s="102"/>
      <c r="JC8" s="102"/>
      <c r="JD8" s="102"/>
      <c r="JE8" s="102"/>
      <c r="JF8" s="102"/>
      <c r="JG8" s="102"/>
      <c r="JH8" s="102"/>
      <c r="JI8" s="102"/>
      <c r="JJ8" s="102"/>
      <c r="JK8" s="102"/>
      <c r="JL8" s="102"/>
      <c r="JM8" s="102"/>
      <c r="JN8" s="102"/>
      <c r="JO8" s="102"/>
      <c r="JP8" s="102"/>
      <c r="JQ8" s="102"/>
      <c r="JR8" s="102"/>
      <c r="JS8" s="102"/>
      <c r="JT8" s="102"/>
      <c r="JU8" s="102"/>
      <c r="JV8" s="102"/>
      <c r="JW8" s="102"/>
      <c r="JX8" s="102"/>
      <c r="JY8" s="102"/>
      <c r="JZ8" s="102"/>
      <c r="KA8" s="102"/>
      <c r="KB8" s="102"/>
      <c r="KC8" s="102"/>
      <c r="KD8" s="102"/>
      <c r="KE8" s="102"/>
      <c r="KF8" s="102"/>
      <c r="KG8" s="102"/>
      <c r="KH8" s="102"/>
      <c r="KI8" s="102"/>
      <c r="KJ8" s="102"/>
      <c r="KK8" s="102"/>
      <c r="KL8" s="102"/>
      <c r="KM8" s="102"/>
      <c r="KN8" s="102"/>
      <c r="KO8" s="102"/>
      <c r="KP8" s="102"/>
      <c r="KQ8" s="102"/>
      <c r="KR8" s="102"/>
      <c r="KS8" s="102"/>
      <c r="KT8" s="102"/>
      <c r="KU8" s="102"/>
      <c r="KV8" s="102"/>
      <c r="KW8" s="102"/>
      <c r="KX8" s="102"/>
      <c r="KY8" s="102"/>
      <c r="KZ8" s="102"/>
      <c r="LA8" s="102"/>
      <c r="LB8" s="102"/>
      <c r="LC8" s="102"/>
      <c r="LD8" s="102"/>
      <c r="LE8" s="102"/>
      <c r="LF8" s="102"/>
      <c r="LG8" s="102"/>
      <c r="LH8" s="102"/>
      <c r="LI8" s="102"/>
      <c r="LJ8" s="102"/>
      <c r="LK8" s="102"/>
      <c r="LL8" s="102"/>
      <c r="LM8" s="102"/>
      <c r="LN8" s="102"/>
      <c r="LO8" s="102"/>
      <c r="LP8" s="102"/>
      <c r="LQ8" s="102"/>
      <c r="LR8" s="102"/>
      <c r="LS8" s="102"/>
      <c r="LT8" s="102"/>
      <c r="LU8" s="102"/>
      <c r="LV8" s="102"/>
      <c r="LW8" s="102"/>
      <c r="LX8" s="102"/>
      <c r="LY8" s="102"/>
    </row>
    <row r="9" ht="18" customHeight="1">
      <c r="A9" s="123" t="s">
        <v>250</v>
      </c>
      <c r="B9" s="124">
        <f>COUNTIF('2. Yes-No Checklist'!E8,"Y")+COUNTIF('2. Yes-No Checklist'!E14,"Y")+COUNTIF('2. Yes-No Checklist'!E20,"Y")+COUNTIF('2. Yes-No Checklist'!E26,"Y")+COUNTIF('2. Yes-No Checklist'!E32,"Y")+COUNTIF('2. Yes-No Checklist'!E38,"Y")+COUNTIF('2. Yes-No Checklist'!E44,"Y")+COUNTIF('2. Yes-No Checklist'!E50,"Y")</f>
        <v>0</v>
      </c>
      <c r="C9" s="125">
        <f>8-(COUNTIF('2. Yes-No Checklist'!E8,"NA")+COUNTIF('2. Yes-No Checklist'!E14,"NA")+COUNTIF('2. Yes-No Checklist'!E20,"NA")+COUNTIF('2. Yes-No Checklist'!E26,"NA")+COUNTIF('2. Yes-No Checklist'!E32,"NA")+COUNTIF('2. Yes-No Checklist'!E38,"NA")+COUNTIF('2. Yes-No Checklist'!E44,"NA")+COUNTIF('2. Yes-No Checklist'!E50,"NA"))</f>
        <v>8</v>
      </c>
      <c r="D9" s="126">
        <f t="shared" si="0"/>
        <v>0</v>
      </c>
      <c r="E9" s="127" t="str">
        <f t="shared" si="1"/>
        <v xml:space="preserve">Not Integrated &lt;50%</v>
      </c>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c r="EO9" s="102"/>
      <c r="EP9" s="102"/>
      <c r="EQ9" s="102"/>
      <c r="ER9" s="102"/>
      <c r="ES9" s="102"/>
      <c r="ET9" s="102"/>
      <c r="EU9" s="102"/>
      <c r="EV9" s="102"/>
      <c r="EW9" s="102"/>
      <c r="EX9" s="102"/>
      <c r="EY9" s="102"/>
      <c r="EZ9" s="102"/>
      <c r="FA9" s="102"/>
      <c r="FB9" s="102"/>
      <c r="FC9" s="102"/>
      <c r="FD9" s="102"/>
      <c r="FE9" s="102"/>
      <c r="FF9" s="102"/>
      <c r="FG9" s="102"/>
      <c r="FH9" s="102"/>
      <c r="FI9" s="102"/>
      <c r="FJ9" s="102"/>
      <c r="FK9" s="102"/>
      <c r="FL9" s="102"/>
      <c r="FM9" s="102"/>
      <c r="FN9" s="102"/>
      <c r="FO9" s="102"/>
      <c r="FP9" s="102"/>
      <c r="FQ9" s="102"/>
      <c r="FR9" s="102"/>
      <c r="FS9" s="102"/>
      <c r="FT9" s="102"/>
      <c r="FU9" s="102"/>
      <c r="FV9" s="102"/>
      <c r="FW9" s="102"/>
      <c r="FX9" s="102"/>
      <c r="FY9" s="102"/>
      <c r="FZ9" s="102"/>
      <c r="GA9" s="102"/>
      <c r="GB9" s="102"/>
      <c r="GC9" s="102"/>
      <c r="GD9" s="102"/>
      <c r="GE9" s="102"/>
      <c r="GF9" s="102"/>
      <c r="GG9" s="102"/>
      <c r="GH9" s="102"/>
      <c r="GI9" s="102"/>
      <c r="GJ9" s="102"/>
      <c r="GK9" s="102"/>
      <c r="GL9" s="102"/>
      <c r="GM9" s="102"/>
      <c r="GN9" s="102"/>
      <c r="GO9" s="102"/>
      <c r="GP9" s="102"/>
      <c r="GQ9" s="102"/>
      <c r="GR9" s="102"/>
      <c r="GS9" s="102"/>
      <c r="GT9" s="102"/>
      <c r="GU9" s="102"/>
      <c r="GV9" s="102"/>
      <c r="GW9" s="102"/>
      <c r="GX9" s="102"/>
      <c r="GY9" s="102"/>
      <c r="GZ9" s="102"/>
      <c r="HA9" s="102"/>
      <c r="HB9" s="102"/>
      <c r="HC9" s="102"/>
      <c r="HD9" s="102"/>
      <c r="HE9" s="102"/>
      <c r="HF9" s="102"/>
      <c r="HG9" s="102"/>
      <c r="HH9" s="102"/>
      <c r="HI9" s="102"/>
      <c r="HJ9" s="102"/>
      <c r="HK9" s="102"/>
      <c r="HL9" s="102"/>
      <c r="HM9" s="102"/>
      <c r="HN9" s="102"/>
      <c r="HO9" s="102"/>
      <c r="HP9" s="102"/>
      <c r="HQ9" s="102"/>
      <c r="HR9" s="102"/>
      <c r="HS9" s="102"/>
      <c r="HT9" s="102"/>
      <c r="HU9" s="102"/>
      <c r="HV9" s="102"/>
      <c r="HW9" s="102"/>
      <c r="HX9" s="102"/>
      <c r="HY9" s="102"/>
      <c r="HZ9" s="102"/>
      <c r="IA9" s="102"/>
      <c r="IB9" s="102"/>
      <c r="IC9" s="102"/>
      <c r="ID9" s="102"/>
      <c r="IE9" s="102"/>
      <c r="IF9" s="102"/>
      <c r="IG9" s="102"/>
      <c r="IH9" s="102"/>
      <c r="II9" s="102"/>
      <c r="IJ9" s="102"/>
      <c r="IK9" s="102"/>
      <c r="IL9" s="102"/>
      <c r="IM9" s="102"/>
      <c r="IN9" s="102"/>
      <c r="IO9" s="102"/>
      <c r="IP9" s="102"/>
      <c r="IQ9" s="102"/>
      <c r="IR9" s="102"/>
      <c r="IS9" s="102"/>
      <c r="IT9" s="102"/>
      <c r="IU9" s="102"/>
      <c r="IV9" s="102"/>
      <c r="IW9" s="102"/>
      <c r="IX9" s="102"/>
      <c r="IY9" s="102"/>
      <c r="IZ9" s="102"/>
      <c r="JA9" s="102"/>
      <c r="JB9" s="102"/>
      <c r="JC9" s="102"/>
      <c r="JD9" s="102"/>
      <c r="JE9" s="102"/>
      <c r="JF9" s="102"/>
      <c r="JG9" s="102"/>
      <c r="JH9" s="102"/>
      <c r="JI9" s="102"/>
      <c r="JJ9" s="102"/>
      <c r="JK9" s="102"/>
      <c r="JL9" s="102"/>
      <c r="JM9" s="102"/>
      <c r="JN9" s="102"/>
      <c r="JO9" s="102"/>
      <c r="JP9" s="102"/>
      <c r="JQ9" s="102"/>
      <c r="JR9" s="102"/>
      <c r="JS9" s="102"/>
      <c r="JT9" s="102"/>
      <c r="JU9" s="102"/>
      <c r="JV9" s="102"/>
      <c r="JW9" s="102"/>
      <c r="JX9" s="102"/>
      <c r="JY9" s="102"/>
      <c r="JZ9" s="102"/>
      <c r="KA9" s="102"/>
      <c r="KB9" s="102"/>
      <c r="KC9" s="102"/>
      <c r="KD9" s="102"/>
      <c r="KE9" s="102"/>
      <c r="KF9" s="102"/>
      <c r="KG9" s="102"/>
      <c r="KH9" s="102"/>
      <c r="KI9" s="102"/>
      <c r="KJ9" s="102"/>
      <c r="KK9" s="102"/>
      <c r="KL9" s="102"/>
      <c r="KM9" s="102"/>
      <c r="KN9" s="102"/>
      <c r="KO9" s="102"/>
      <c r="KP9" s="102"/>
      <c r="KQ9" s="102"/>
      <c r="KR9" s="102"/>
      <c r="KS9" s="102"/>
      <c r="KT9" s="102"/>
      <c r="KU9" s="102"/>
      <c r="KV9" s="102"/>
      <c r="KW9" s="102"/>
      <c r="KX9" s="102"/>
      <c r="KY9" s="102"/>
      <c r="KZ9" s="102"/>
      <c r="LA9" s="102"/>
      <c r="LB9" s="102"/>
      <c r="LC9" s="102"/>
      <c r="LD9" s="102"/>
      <c r="LE9" s="102"/>
      <c r="LF9" s="102"/>
      <c r="LG9" s="102"/>
      <c r="LH9" s="102"/>
      <c r="LI9" s="102"/>
      <c r="LJ9" s="102"/>
      <c r="LK9" s="102"/>
      <c r="LL9" s="102"/>
      <c r="LM9" s="102"/>
      <c r="LN9" s="102"/>
      <c r="LO9" s="102"/>
      <c r="LP9" s="102"/>
      <c r="LQ9" s="102"/>
      <c r="LR9" s="102"/>
      <c r="LS9" s="102"/>
      <c r="LT9" s="102"/>
      <c r="LU9" s="102"/>
      <c r="LV9" s="102"/>
      <c r="LW9" s="102"/>
      <c r="LX9" s="102"/>
      <c r="LY9" s="102"/>
    </row>
    <row r="10" ht="18" customHeight="1">
      <c r="A10" s="123" t="s">
        <v>252</v>
      </c>
      <c r="B10" s="124">
        <f>COUNTIF('2. Yes-No Checklist'!E9,"Y")+COUNTIF('2. Yes-No Checklist'!E15,"Y")+COUNTIF('2. Yes-No Checklist'!E21,"Y")+COUNTIF('2. Yes-No Checklist'!E27,"Y")+COUNTIF('2. Yes-No Checklist'!E33,"Y")+COUNTIF('2. Yes-No Checklist'!E39,"Y")+COUNTIF('2. Yes-No Checklist'!E45,"Y")+COUNTIF('2. Yes-No Checklist'!E51,"Y")</f>
        <v>0</v>
      </c>
      <c r="C10" s="125">
        <f>8-(COUNTIF('2. Yes-No Checklist'!E9,"NA")+COUNTIF('2. Yes-No Checklist'!E15,"NA")+COUNTIF('2. Yes-No Checklist'!E21,"NA")+COUNTIF('2. Yes-No Checklist'!E27,"NA")+COUNTIF('2. Yes-No Checklist'!E33,"NA")+COUNTIF('2. Yes-No Checklist'!E39,"NA")+COUNTIF('2. Yes-No Checklist'!E45,"NA")+COUNTIF('2. Yes-No Checklist'!E51,"NA"))</f>
        <v>8</v>
      </c>
      <c r="D10" s="126">
        <f t="shared" si="0"/>
        <v>0</v>
      </c>
      <c r="E10" s="127" t="str">
        <f t="shared" si="1"/>
        <v xml:space="preserve">Not Integrated &lt;50%</v>
      </c>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c r="EB10" s="102"/>
      <c r="EC10" s="102"/>
      <c r="ED10" s="102"/>
      <c r="EE10" s="102"/>
      <c r="EF10" s="102"/>
      <c r="EG10" s="102"/>
      <c r="EH10" s="102"/>
      <c r="EI10" s="102"/>
      <c r="EJ10" s="102"/>
      <c r="EK10" s="102"/>
      <c r="EL10" s="102"/>
      <c r="EM10" s="102"/>
      <c r="EN10" s="102"/>
      <c r="EO10" s="102"/>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2"/>
      <c r="FO10" s="102"/>
      <c r="FP10" s="102"/>
      <c r="FQ10" s="102"/>
      <c r="FR10" s="102"/>
      <c r="FS10" s="102"/>
      <c r="FT10" s="102"/>
      <c r="FU10" s="102"/>
      <c r="FV10" s="102"/>
      <c r="FW10" s="102"/>
      <c r="FX10" s="102"/>
      <c r="FY10" s="102"/>
      <c r="FZ10" s="102"/>
      <c r="GA10" s="102"/>
      <c r="GB10" s="102"/>
      <c r="GC10" s="102"/>
      <c r="GD10" s="102"/>
      <c r="GE10" s="102"/>
      <c r="GF10" s="102"/>
      <c r="GG10" s="102"/>
      <c r="GH10" s="102"/>
      <c r="GI10" s="102"/>
      <c r="GJ10" s="102"/>
      <c r="GK10" s="102"/>
      <c r="GL10" s="102"/>
      <c r="GM10" s="102"/>
      <c r="GN10" s="102"/>
      <c r="GO10" s="102"/>
      <c r="GP10" s="102"/>
      <c r="GQ10" s="102"/>
      <c r="GR10" s="102"/>
      <c r="GS10" s="102"/>
      <c r="GT10" s="102"/>
      <c r="GU10" s="102"/>
      <c r="GV10" s="102"/>
      <c r="GW10" s="102"/>
      <c r="GX10" s="102"/>
      <c r="GY10" s="102"/>
      <c r="GZ10" s="102"/>
      <c r="HA10" s="102"/>
      <c r="HB10" s="102"/>
      <c r="HC10" s="102"/>
      <c r="HD10" s="102"/>
      <c r="HE10" s="102"/>
      <c r="HF10" s="102"/>
      <c r="HG10" s="102"/>
      <c r="HH10" s="102"/>
      <c r="HI10" s="102"/>
      <c r="HJ10" s="102"/>
      <c r="HK10" s="102"/>
      <c r="HL10" s="102"/>
      <c r="HM10" s="102"/>
      <c r="HN10" s="102"/>
      <c r="HO10" s="102"/>
      <c r="HP10" s="102"/>
      <c r="HQ10" s="102"/>
      <c r="HR10" s="102"/>
      <c r="HS10" s="102"/>
      <c r="HT10" s="102"/>
      <c r="HU10" s="102"/>
      <c r="HV10" s="102"/>
      <c r="HW10" s="102"/>
      <c r="HX10" s="102"/>
      <c r="HY10" s="102"/>
      <c r="HZ10" s="102"/>
      <c r="IA10" s="102"/>
      <c r="IB10" s="102"/>
      <c r="IC10" s="102"/>
      <c r="ID10" s="102"/>
      <c r="IE10" s="102"/>
      <c r="IF10" s="102"/>
      <c r="IG10" s="102"/>
      <c r="IH10" s="102"/>
      <c r="II10" s="102"/>
      <c r="IJ10" s="102"/>
      <c r="IK10" s="102"/>
      <c r="IL10" s="102"/>
      <c r="IM10" s="102"/>
      <c r="IN10" s="102"/>
      <c r="IO10" s="102"/>
      <c r="IP10" s="102"/>
      <c r="IQ10" s="102"/>
      <c r="IR10" s="102"/>
      <c r="IS10" s="102"/>
      <c r="IT10" s="102"/>
      <c r="IU10" s="102"/>
      <c r="IV10" s="102"/>
      <c r="IW10" s="102"/>
      <c r="IX10" s="102"/>
      <c r="IY10" s="102"/>
      <c r="IZ10" s="102"/>
      <c r="JA10" s="102"/>
      <c r="JB10" s="102"/>
      <c r="JC10" s="102"/>
      <c r="JD10" s="102"/>
      <c r="JE10" s="102"/>
      <c r="JF10" s="102"/>
      <c r="JG10" s="102"/>
      <c r="JH10" s="102"/>
      <c r="JI10" s="102"/>
      <c r="JJ10" s="102"/>
      <c r="JK10" s="102"/>
      <c r="JL10" s="102"/>
      <c r="JM10" s="102"/>
      <c r="JN10" s="102"/>
      <c r="JO10" s="102"/>
      <c r="JP10" s="102"/>
      <c r="JQ10" s="102"/>
      <c r="JR10" s="102"/>
      <c r="JS10" s="102"/>
      <c r="JT10" s="102"/>
      <c r="JU10" s="102"/>
      <c r="JV10" s="102"/>
      <c r="JW10" s="102"/>
      <c r="JX10" s="102"/>
      <c r="JY10" s="102"/>
      <c r="JZ10" s="102"/>
      <c r="KA10" s="102"/>
      <c r="KB10" s="102"/>
      <c r="KC10" s="102"/>
      <c r="KD10" s="102"/>
      <c r="KE10" s="102"/>
      <c r="KF10" s="102"/>
      <c r="KG10" s="102"/>
      <c r="KH10" s="102"/>
      <c r="KI10" s="102"/>
      <c r="KJ10" s="102"/>
      <c r="KK10" s="102"/>
      <c r="KL10" s="102"/>
      <c r="KM10" s="102"/>
      <c r="KN10" s="102"/>
      <c r="KO10" s="102"/>
      <c r="KP10" s="102"/>
      <c r="KQ10" s="102"/>
      <c r="KR10" s="102"/>
      <c r="KS10" s="102"/>
      <c r="KT10" s="102"/>
      <c r="KU10" s="102"/>
      <c r="KV10" s="102"/>
      <c r="KW10" s="102"/>
      <c r="KX10" s="102"/>
      <c r="KY10" s="102"/>
      <c r="KZ10" s="102"/>
      <c r="LA10" s="102"/>
      <c r="LB10" s="102"/>
      <c r="LC10" s="102"/>
      <c r="LD10" s="102"/>
      <c r="LE10" s="102"/>
      <c r="LF10" s="102"/>
      <c r="LG10" s="102"/>
      <c r="LH10" s="102"/>
      <c r="LI10" s="102"/>
      <c r="LJ10" s="102"/>
      <c r="LK10" s="102"/>
      <c r="LL10" s="102"/>
      <c r="LM10" s="102"/>
      <c r="LN10" s="102"/>
      <c r="LO10" s="102"/>
      <c r="LP10" s="102"/>
      <c r="LQ10" s="102"/>
      <c r="LR10" s="102"/>
      <c r="LS10" s="102"/>
      <c r="LT10" s="102"/>
      <c r="LU10" s="102"/>
      <c r="LV10" s="102"/>
      <c r="LW10" s="102"/>
      <c r="LX10" s="102"/>
      <c r="LY10" s="102"/>
    </row>
    <row r="11" ht="18" customHeight="1">
      <c r="A11" s="123" t="s">
        <v>254</v>
      </c>
      <c r="B11" s="124">
        <f>COUNTIF('2. Yes-No Checklist'!E10,"Y")+COUNTIF('2. Yes-No Checklist'!E16,"Y")+COUNTIF('2. Yes-No Checklist'!E22,"Y")+COUNTIF('2. Yes-No Checklist'!E28,"Y")+COUNTIF('2. Yes-No Checklist'!E34,"Y")+COUNTIF('2. Yes-No Checklist'!E40,"Y")+COUNTIF('2. Yes-No Checklist'!E46,"Y")+COUNTIF('2. Yes-No Checklist'!E52,"Y")</f>
        <v>0</v>
      </c>
      <c r="C11" s="125">
        <f>8-(COUNTIF('2. Yes-No Checklist'!E10,"NA")+COUNTIF('2. Yes-No Checklist'!E16,"NA")+COUNTIF('2. Yes-No Checklist'!E22,"NA")+COUNTIF('2. Yes-No Checklist'!E28,"NA")+COUNTIF('2. Yes-No Checklist'!E34,"NA")+COUNTIF('2. Yes-No Checklist'!E40,"NA")+COUNTIF('2. Yes-No Checklist'!E46,"NA")+COUNTIF('2. Yes-No Checklist'!E52,"NA"))</f>
        <v>8</v>
      </c>
      <c r="D11" s="126">
        <f t="shared" ref="D11:D24" si="2">IFERROR(B11/C11,0)</f>
        <v>0</v>
      </c>
      <c r="E11" s="127" t="str">
        <f t="shared" ref="E11:E24" si="3">IF(D11&gt;=0.75,"Integrated ≥75%",IF(D11&gt;=0.5,"Partially Integrated 50–74%","Not Integrated &lt;50%"))</f>
        <v xml:space="preserve">Not Integrated &lt;50%</v>
      </c>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c r="EB11" s="102"/>
      <c r="EC11" s="102"/>
      <c r="ED11" s="102"/>
      <c r="EE11" s="102"/>
      <c r="EF11" s="102"/>
      <c r="EG11" s="102"/>
      <c r="EH11" s="102"/>
      <c r="EI11" s="102"/>
      <c r="EJ11" s="102"/>
      <c r="EK11" s="102"/>
      <c r="EL11" s="102"/>
      <c r="EM11" s="102"/>
      <c r="EN11" s="102"/>
      <c r="EO11" s="102"/>
      <c r="EP11" s="102"/>
      <c r="EQ11" s="102"/>
      <c r="ER11" s="102"/>
      <c r="ES11" s="102"/>
      <c r="ET11" s="102"/>
      <c r="EU11" s="102"/>
      <c r="EV11" s="102"/>
      <c r="EW11" s="102"/>
      <c r="EX11" s="102"/>
      <c r="EY11" s="102"/>
      <c r="EZ11" s="102"/>
      <c r="FA11" s="102"/>
      <c r="FB11" s="102"/>
      <c r="FC11" s="102"/>
      <c r="FD11" s="102"/>
      <c r="FE11" s="102"/>
      <c r="FF11" s="102"/>
      <c r="FG11" s="102"/>
      <c r="FH11" s="102"/>
      <c r="FI11" s="102"/>
      <c r="FJ11" s="102"/>
      <c r="FK11" s="102"/>
      <c r="FL11" s="102"/>
      <c r="FM11" s="102"/>
      <c r="FN11" s="102"/>
      <c r="FO11" s="102"/>
      <c r="FP11" s="102"/>
      <c r="FQ11" s="102"/>
      <c r="FR11" s="102"/>
      <c r="FS11" s="102"/>
      <c r="FT11" s="102"/>
      <c r="FU11" s="102"/>
      <c r="FV11" s="102"/>
      <c r="FW11" s="102"/>
      <c r="FX11" s="102"/>
      <c r="FY11" s="102"/>
      <c r="FZ11" s="102"/>
      <c r="GA11" s="102"/>
      <c r="GB11" s="102"/>
      <c r="GC11" s="102"/>
      <c r="GD11" s="102"/>
      <c r="GE11" s="102"/>
      <c r="GF11" s="102"/>
      <c r="GG11" s="102"/>
      <c r="GH11" s="102"/>
      <c r="GI11" s="102"/>
      <c r="GJ11" s="102"/>
      <c r="GK11" s="102"/>
      <c r="GL11" s="102"/>
      <c r="GM11" s="102"/>
      <c r="GN11" s="102"/>
      <c r="GO11" s="102"/>
      <c r="GP11" s="102"/>
      <c r="GQ11" s="102"/>
      <c r="GR11" s="102"/>
      <c r="GS11" s="102"/>
      <c r="GT11" s="102"/>
      <c r="GU11" s="102"/>
      <c r="GV11" s="102"/>
      <c r="GW11" s="102"/>
      <c r="GX11" s="102"/>
      <c r="GY11" s="102"/>
      <c r="GZ11" s="102"/>
      <c r="HA11" s="102"/>
      <c r="HB11" s="102"/>
      <c r="HC11" s="102"/>
      <c r="HD11" s="102"/>
      <c r="HE11" s="102"/>
      <c r="HF11" s="102"/>
      <c r="HG11" s="102"/>
      <c r="HH11" s="102"/>
      <c r="HI11" s="102"/>
      <c r="HJ11" s="102"/>
      <c r="HK11" s="102"/>
      <c r="HL11" s="102"/>
      <c r="HM11" s="102"/>
      <c r="HN11" s="102"/>
      <c r="HO11" s="102"/>
      <c r="HP11" s="102"/>
      <c r="HQ11" s="102"/>
      <c r="HR11" s="102"/>
      <c r="HS11" s="102"/>
      <c r="HT11" s="102"/>
      <c r="HU11" s="102"/>
      <c r="HV11" s="102"/>
      <c r="HW11" s="102"/>
      <c r="HX11" s="102"/>
      <c r="HY11" s="102"/>
      <c r="HZ11" s="102"/>
      <c r="IA11" s="102"/>
      <c r="IB11" s="102"/>
      <c r="IC11" s="102"/>
      <c r="ID11" s="102"/>
      <c r="IE11" s="102"/>
      <c r="IF11" s="102"/>
      <c r="IG11" s="102"/>
      <c r="IH11" s="102"/>
      <c r="II11" s="102"/>
      <c r="IJ11" s="102"/>
      <c r="IK11" s="102"/>
      <c r="IL11" s="102"/>
      <c r="IM11" s="102"/>
      <c r="IN11" s="102"/>
      <c r="IO11" s="102"/>
      <c r="IP11" s="102"/>
      <c r="IQ11" s="102"/>
      <c r="IR11" s="102"/>
      <c r="IS11" s="102"/>
      <c r="IT11" s="102"/>
      <c r="IU11" s="102"/>
      <c r="IV11" s="102"/>
      <c r="IW11" s="102"/>
      <c r="IX11" s="102"/>
      <c r="IY11" s="102"/>
      <c r="IZ11" s="102"/>
      <c r="JA11" s="102"/>
      <c r="JB11" s="102"/>
      <c r="JC11" s="102"/>
      <c r="JD11" s="102"/>
      <c r="JE11" s="102"/>
      <c r="JF11" s="102"/>
      <c r="JG11" s="102"/>
      <c r="JH11" s="102"/>
      <c r="JI11" s="102"/>
      <c r="JJ11" s="102"/>
      <c r="JK11" s="102"/>
      <c r="JL11" s="102"/>
      <c r="JM11" s="102"/>
      <c r="JN11" s="102"/>
      <c r="JO11" s="102"/>
      <c r="JP11" s="102"/>
      <c r="JQ11" s="102"/>
      <c r="JR11" s="102"/>
      <c r="JS11" s="102"/>
      <c r="JT11" s="102"/>
      <c r="JU11" s="102"/>
      <c r="JV11" s="102"/>
      <c r="JW11" s="102"/>
      <c r="JX11" s="102"/>
      <c r="JY11" s="102"/>
      <c r="JZ11" s="102"/>
      <c r="KA11" s="102"/>
      <c r="KB11" s="102"/>
      <c r="KC11" s="102"/>
      <c r="KD11" s="102"/>
      <c r="KE11" s="102"/>
      <c r="KF11" s="102"/>
      <c r="KG11" s="102"/>
      <c r="KH11" s="102"/>
      <c r="KI11" s="102"/>
      <c r="KJ11" s="102"/>
      <c r="KK11" s="102"/>
      <c r="KL11" s="102"/>
      <c r="KM11" s="102"/>
      <c r="KN11" s="102"/>
      <c r="KO11" s="102"/>
      <c r="KP11" s="102"/>
      <c r="KQ11" s="102"/>
      <c r="KR11" s="102"/>
      <c r="KS11" s="102"/>
      <c r="KT11" s="102"/>
      <c r="KU11" s="102"/>
      <c r="KV11" s="102"/>
      <c r="KW11" s="102"/>
      <c r="KX11" s="102"/>
      <c r="KY11" s="102"/>
      <c r="KZ11" s="102"/>
      <c r="LA11" s="102"/>
      <c r="LB11" s="102"/>
      <c r="LC11" s="102"/>
      <c r="LD11" s="102"/>
      <c r="LE11" s="102"/>
      <c r="LF11" s="102"/>
      <c r="LG11" s="102"/>
      <c r="LH11" s="102"/>
      <c r="LI11" s="102"/>
      <c r="LJ11" s="102"/>
      <c r="LK11" s="102"/>
      <c r="LL11" s="102"/>
      <c r="LM11" s="102"/>
      <c r="LN11" s="102"/>
      <c r="LO11" s="102"/>
      <c r="LP11" s="102"/>
      <c r="LQ11" s="102"/>
      <c r="LR11" s="102"/>
      <c r="LS11" s="102"/>
      <c r="LT11" s="102"/>
      <c r="LU11" s="102"/>
      <c r="LV11" s="102"/>
      <c r="LW11" s="102"/>
      <c r="LX11" s="102"/>
      <c r="LY11" s="102"/>
    </row>
    <row r="12" ht="18" customHeight="1">
      <c r="A12" s="123" t="s">
        <v>256</v>
      </c>
      <c r="B12" s="124">
        <f>COUNTIF('2. Yes-No Checklist'!E11,"Y")+COUNTIF('2. Yes-No Checklist'!E17,"Y")+COUNTIF('2. Yes-No Checklist'!E23,"Y")+COUNTIF('2. Yes-No Checklist'!E29,"Y")+COUNTIF('2. Yes-No Checklist'!E35,"Y")+COUNTIF('2. Yes-No Checklist'!E41,"Y")+COUNTIF('2. Yes-No Checklist'!E47,"Y")+COUNTIF('2. Yes-No Checklist'!E53,"Y")</f>
        <v>0</v>
      </c>
      <c r="C12" s="125">
        <f>8-(COUNTIF('2. Yes-No Checklist'!E11,"NA")+COUNTIF('2. Yes-No Checklist'!E17,"NA")+COUNTIF('2. Yes-No Checklist'!E23,"NA")+COUNTIF('2. Yes-No Checklist'!E29,"NA")+COUNTIF('2. Yes-No Checklist'!E35,"NA")+COUNTIF('2. Yes-No Checklist'!E41,"NA")+COUNTIF('2. Yes-No Checklist'!E47,"NA")+COUNTIF('2. Yes-No Checklist'!E53,"NA"))</f>
        <v>8</v>
      </c>
      <c r="D12" s="126">
        <f t="shared" si="2"/>
        <v>0</v>
      </c>
      <c r="E12" s="127" t="str">
        <f t="shared" si="3"/>
        <v xml:space="preserve">Not Integrated &lt;50%</v>
      </c>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2"/>
      <c r="FO12" s="102"/>
      <c r="FP12" s="102"/>
      <c r="FQ12" s="102"/>
      <c r="FR12" s="102"/>
      <c r="FS12" s="102"/>
      <c r="FT12" s="102"/>
      <c r="FU12" s="102"/>
      <c r="FV12" s="102"/>
      <c r="FW12" s="102"/>
      <c r="FX12" s="102"/>
      <c r="FY12" s="102"/>
      <c r="FZ12" s="102"/>
      <c r="GA12" s="102"/>
      <c r="GB12" s="102"/>
      <c r="GC12" s="102"/>
      <c r="GD12" s="102"/>
      <c r="GE12" s="102"/>
      <c r="GF12" s="102"/>
      <c r="GG12" s="102"/>
      <c r="GH12" s="102"/>
      <c r="GI12" s="102"/>
      <c r="GJ12" s="102"/>
      <c r="GK12" s="102"/>
      <c r="GL12" s="102"/>
      <c r="GM12" s="102"/>
      <c r="GN12" s="102"/>
      <c r="GO12" s="102"/>
      <c r="GP12" s="102"/>
      <c r="GQ12" s="102"/>
      <c r="GR12" s="102"/>
      <c r="GS12" s="102"/>
      <c r="GT12" s="102"/>
      <c r="GU12" s="102"/>
      <c r="GV12" s="102"/>
      <c r="GW12" s="102"/>
      <c r="GX12" s="102"/>
      <c r="GY12" s="102"/>
      <c r="GZ12" s="102"/>
      <c r="HA12" s="102"/>
      <c r="HB12" s="102"/>
      <c r="HC12" s="102"/>
      <c r="HD12" s="102"/>
      <c r="HE12" s="102"/>
      <c r="HF12" s="102"/>
      <c r="HG12" s="102"/>
      <c r="HH12" s="102"/>
      <c r="HI12" s="102"/>
      <c r="HJ12" s="102"/>
      <c r="HK12" s="102"/>
      <c r="HL12" s="102"/>
      <c r="HM12" s="102"/>
      <c r="HN12" s="102"/>
      <c r="HO12" s="102"/>
      <c r="HP12" s="102"/>
      <c r="HQ12" s="102"/>
      <c r="HR12" s="102"/>
      <c r="HS12" s="102"/>
      <c r="HT12" s="102"/>
      <c r="HU12" s="102"/>
      <c r="HV12" s="102"/>
      <c r="HW12" s="102"/>
      <c r="HX12" s="102"/>
      <c r="HY12" s="102"/>
      <c r="HZ12" s="102"/>
      <c r="IA12" s="102"/>
      <c r="IB12" s="102"/>
      <c r="IC12" s="102"/>
      <c r="ID12" s="102"/>
      <c r="IE12" s="102"/>
      <c r="IF12" s="102"/>
      <c r="IG12" s="102"/>
      <c r="IH12" s="102"/>
      <c r="II12" s="102"/>
      <c r="IJ12" s="102"/>
      <c r="IK12" s="102"/>
      <c r="IL12" s="102"/>
      <c r="IM12" s="102"/>
      <c r="IN12" s="102"/>
      <c r="IO12" s="102"/>
      <c r="IP12" s="102"/>
      <c r="IQ12" s="102"/>
      <c r="IR12" s="102"/>
      <c r="IS12" s="102"/>
      <c r="IT12" s="102"/>
      <c r="IU12" s="102"/>
      <c r="IV12" s="102"/>
      <c r="IW12" s="102"/>
      <c r="IX12" s="102"/>
      <c r="IY12" s="102"/>
      <c r="IZ12" s="102"/>
      <c r="JA12" s="102"/>
      <c r="JB12" s="102"/>
      <c r="JC12" s="102"/>
      <c r="JD12" s="102"/>
      <c r="JE12" s="102"/>
      <c r="JF12" s="102"/>
      <c r="JG12" s="102"/>
      <c r="JH12" s="102"/>
      <c r="JI12" s="102"/>
      <c r="JJ12" s="102"/>
      <c r="JK12" s="102"/>
      <c r="JL12" s="102"/>
      <c r="JM12" s="102"/>
      <c r="JN12" s="102"/>
      <c r="JO12" s="102"/>
      <c r="JP12" s="102"/>
      <c r="JQ12" s="102"/>
      <c r="JR12" s="102"/>
      <c r="JS12" s="102"/>
      <c r="JT12" s="102"/>
      <c r="JU12" s="102"/>
      <c r="JV12" s="102"/>
      <c r="JW12" s="102"/>
      <c r="JX12" s="102"/>
      <c r="JY12" s="102"/>
      <c r="JZ12" s="102"/>
      <c r="KA12" s="102"/>
      <c r="KB12" s="102"/>
      <c r="KC12" s="102"/>
      <c r="KD12" s="102"/>
      <c r="KE12" s="102"/>
      <c r="KF12" s="102"/>
      <c r="KG12" s="102"/>
      <c r="KH12" s="102"/>
      <c r="KI12" s="102"/>
      <c r="KJ12" s="102"/>
      <c r="KK12" s="102"/>
      <c r="KL12" s="102"/>
      <c r="KM12" s="102"/>
      <c r="KN12" s="102"/>
      <c r="KO12" s="102"/>
      <c r="KP12" s="102"/>
      <c r="KQ12" s="102"/>
      <c r="KR12" s="102"/>
      <c r="KS12" s="102"/>
      <c r="KT12" s="102"/>
      <c r="KU12" s="102"/>
      <c r="KV12" s="102"/>
      <c r="KW12" s="102"/>
      <c r="KX12" s="102"/>
      <c r="KY12" s="102"/>
      <c r="KZ12" s="102"/>
      <c r="LA12" s="102"/>
      <c r="LB12" s="102"/>
      <c r="LC12" s="102"/>
      <c r="LD12" s="102"/>
      <c r="LE12" s="102"/>
      <c r="LF12" s="102"/>
      <c r="LG12" s="102"/>
      <c r="LH12" s="102"/>
      <c r="LI12" s="102"/>
      <c r="LJ12" s="102"/>
      <c r="LK12" s="102"/>
      <c r="LL12" s="102"/>
      <c r="LM12" s="102"/>
      <c r="LN12" s="102"/>
      <c r="LO12" s="102"/>
      <c r="LP12" s="102"/>
      <c r="LQ12" s="102"/>
      <c r="LR12" s="102"/>
      <c r="LS12" s="102"/>
      <c r="LT12" s="102"/>
      <c r="LU12" s="102"/>
      <c r="LV12" s="102"/>
      <c r="LW12" s="102"/>
      <c r="LX12" s="102"/>
      <c r="LY12" s="102"/>
    </row>
    <row r="13" ht="15" customHeight="1">
      <c r="A13" s="103"/>
      <c r="B13" s="103"/>
      <c r="C13" s="103"/>
      <c r="D13" s="103"/>
      <c r="E13" s="103"/>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c r="EO13" s="102"/>
      <c r="EP13" s="102"/>
      <c r="EQ13" s="102"/>
      <c r="ER13" s="102"/>
      <c r="ES13" s="102"/>
      <c r="ET13" s="102"/>
      <c r="EU13" s="102"/>
      <c r="EV13" s="102"/>
      <c r="EW13" s="102"/>
      <c r="EX13" s="102"/>
      <c r="EY13" s="102"/>
      <c r="EZ13" s="102"/>
      <c r="FA13" s="102"/>
      <c r="FB13" s="102"/>
      <c r="FC13" s="102"/>
      <c r="FD13" s="102"/>
      <c r="FE13" s="102"/>
      <c r="FF13" s="102"/>
      <c r="FG13" s="102"/>
      <c r="FH13" s="102"/>
      <c r="FI13" s="102"/>
      <c r="FJ13" s="102"/>
      <c r="FK13" s="102"/>
      <c r="FL13" s="102"/>
      <c r="FM13" s="102"/>
      <c r="FN13" s="102"/>
      <c r="FO13" s="102"/>
      <c r="FP13" s="102"/>
      <c r="FQ13" s="102"/>
      <c r="FR13" s="102"/>
      <c r="FS13" s="102"/>
      <c r="FT13" s="102"/>
      <c r="FU13" s="102"/>
      <c r="FV13" s="102"/>
      <c r="FW13" s="102"/>
      <c r="FX13" s="102"/>
      <c r="FY13" s="102"/>
      <c r="FZ13" s="102"/>
      <c r="GA13" s="102"/>
      <c r="GB13" s="102"/>
      <c r="GC13" s="102"/>
      <c r="GD13" s="102"/>
      <c r="GE13" s="102"/>
      <c r="GF13" s="102"/>
      <c r="GG13" s="102"/>
      <c r="GH13" s="102"/>
      <c r="GI13" s="102"/>
      <c r="GJ13" s="102"/>
      <c r="GK13" s="102"/>
      <c r="GL13" s="102"/>
      <c r="GM13" s="102"/>
      <c r="GN13" s="102"/>
      <c r="GO13" s="102"/>
      <c r="GP13" s="102"/>
      <c r="GQ13" s="102"/>
      <c r="GR13" s="102"/>
      <c r="GS13" s="102"/>
      <c r="GT13" s="102"/>
      <c r="GU13" s="102"/>
      <c r="GV13" s="102"/>
      <c r="GW13" s="102"/>
      <c r="GX13" s="102"/>
      <c r="GY13" s="102"/>
      <c r="GZ13" s="102"/>
      <c r="HA13" s="102"/>
      <c r="HB13" s="102"/>
      <c r="HC13" s="102"/>
      <c r="HD13" s="102"/>
      <c r="HE13" s="102"/>
      <c r="HF13" s="102"/>
      <c r="HG13" s="102"/>
      <c r="HH13" s="102"/>
      <c r="HI13" s="102"/>
      <c r="HJ13" s="102"/>
      <c r="HK13" s="102"/>
      <c r="HL13" s="102"/>
      <c r="HM13" s="102"/>
      <c r="HN13" s="102"/>
      <c r="HO13" s="102"/>
      <c r="HP13" s="102"/>
      <c r="HQ13" s="102"/>
      <c r="HR13" s="102"/>
      <c r="HS13" s="102"/>
      <c r="HT13" s="102"/>
      <c r="HU13" s="102"/>
      <c r="HV13" s="102"/>
      <c r="HW13" s="102"/>
      <c r="HX13" s="102"/>
      <c r="HY13" s="102"/>
      <c r="HZ13" s="102"/>
      <c r="IA13" s="102"/>
      <c r="IB13" s="102"/>
      <c r="IC13" s="102"/>
      <c r="ID13" s="102"/>
      <c r="IE13" s="102"/>
      <c r="IF13" s="102"/>
      <c r="IG13" s="102"/>
      <c r="IH13" s="102"/>
      <c r="II13" s="102"/>
      <c r="IJ13" s="102"/>
      <c r="IK13" s="102"/>
      <c r="IL13" s="102"/>
      <c r="IM13" s="102"/>
      <c r="IN13" s="102"/>
      <c r="IO13" s="102"/>
      <c r="IP13" s="102"/>
      <c r="IQ13" s="102"/>
      <c r="IR13" s="102"/>
      <c r="IS13" s="102"/>
      <c r="IT13" s="102"/>
      <c r="IU13" s="102"/>
      <c r="IV13" s="102"/>
      <c r="IW13" s="102"/>
      <c r="IX13" s="102"/>
      <c r="IY13" s="102"/>
      <c r="IZ13" s="102"/>
      <c r="JA13" s="102"/>
      <c r="JB13" s="102"/>
      <c r="JC13" s="102"/>
      <c r="JD13" s="102"/>
      <c r="JE13" s="102"/>
      <c r="JF13" s="102"/>
      <c r="JG13" s="102"/>
      <c r="JH13" s="102"/>
      <c r="JI13" s="102"/>
      <c r="JJ13" s="102"/>
      <c r="JK13" s="102"/>
      <c r="JL13" s="102"/>
      <c r="JM13" s="102"/>
      <c r="JN13" s="102"/>
      <c r="JO13" s="102"/>
      <c r="JP13" s="102"/>
      <c r="JQ13" s="102"/>
      <c r="JR13" s="102"/>
      <c r="JS13" s="102"/>
      <c r="JT13" s="102"/>
      <c r="JU13" s="102"/>
      <c r="JV13" s="102"/>
      <c r="JW13" s="102"/>
      <c r="JX13" s="102"/>
      <c r="JY13" s="102"/>
      <c r="JZ13" s="102"/>
      <c r="KA13" s="102"/>
      <c r="KB13" s="102"/>
      <c r="KC13" s="102"/>
      <c r="KD13" s="102"/>
      <c r="KE13" s="102"/>
      <c r="KF13" s="102"/>
      <c r="KG13" s="102"/>
      <c r="KH13" s="102"/>
      <c r="KI13" s="102"/>
      <c r="KJ13" s="102"/>
      <c r="KK13" s="102"/>
      <c r="KL13" s="102"/>
      <c r="KM13" s="102"/>
      <c r="KN13" s="102"/>
      <c r="KO13" s="102"/>
      <c r="KP13" s="102"/>
      <c r="KQ13" s="102"/>
      <c r="KR13" s="102"/>
      <c r="KS13" s="102"/>
      <c r="KT13" s="102"/>
      <c r="KU13" s="102"/>
      <c r="KV13" s="102"/>
      <c r="KW13" s="102"/>
      <c r="KX13" s="102"/>
      <c r="KY13" s="102"/>
      <c r="KZ13" s="102"/>
      <c r="LA13" s="102"/>
      <c r="LB13" s="102"/>
      <c r="LC13" s="102"/>
      <c r="LD13" s="102"/>
      <c r="LE13" s="102"/>
      <c r="LF13" s="102"/>
      <c r="LG13" s="102"/>
      <c r="LH13" s="102"/>
      <c r="LI13" s="102"/>
      <c r="LJ13" s="102"/>
      <c r="LK13" s="102"/>
      <c r="LL13" s="102"/>
      <c r="LM13" s="102"/>
      <c r="LN13" s="102"/>
      <c r="LO13" s="102"/>
      <c r="LP13" s="102"/>
      <c r="LQ13" s="102"/>
      <c r="LR13" s="102"/>
      <c r="LS13" s="102"/>
      <c r="LT13" s="102"/>
      <c r="LU13" s="102"/>
      <c r="LV13" s="102"/>
      <c r="LW13" s="102"/>
      <c r="LX13" s="102"/>
      <c r="LY13" s="102"/>
    </row>
    <row r="14" ht="15" customHeight="1">
      <c r="A14" s="103"/>
      <c r="B14" s="103"/>
      <c r="C14" s="103"/>
      <c r="D14" s="103"/>
      <c r="E14" s="103"/>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c r="EO14" s="102"/>
      <c r="EP14" s="102"/>
      <c r="EQ14" s="102"/>
      <c r="ER14" s="102"/>
      <c r="ES14" s="102"/>
      <c r="ET14" s="102"/>
      <c r="EU14" s="102"/>
      <c r="EV14" s="102"/>
      <c r="EW14" s="102"/>
      <c r="EX14" s="102"/>
      <c r="EY14" s="102"/>
      <c r="EZ14" s="102"/>
      <c r="FA14" s="102"/>
      <c r="FB14" s="102"/>
      <c r="FC14" s="102"/>
      <c r="FD14" s="102"/>
      <c r="FE14" s="102"/>
      <c r="FF14" s="102"/>
      <c r="FG14" s="102"/>
      <c r="FH14" s="102"/>
      <c r="FI14" s="102"/>
      <c r="FJ14" s="102"/>
      <c r="FK14" s="102"/>
      <c r="FL14" s="102"/>
      <c r="FM14" s="102"/>
      <c r="FN14" s="102"/>
      <c r="FO14" s="102"/>
      <c r="FP14" s="102"/>
      <c r="FQ14" s="102"/>
      <c r="FR14" s="102"/>
      <c r="FS14" s="102"/>
      <c r="FT14" s="102"/>
      <c r="FU14" s="102"/>
      <c r="FV14" s="102"/>
      <c r="FW14" s="102"/>
      <c r="FX14" s="102"/>
      <c r="FY14" s="102"/>
      <c r="FZ14" s="102"/>
      <c r="GA14" s="102"/>
      <c r="GB14" s="102"/>
      <c r="GC14" s="102"/>
      <c r="GD14" s="102"/>
      <c r="GE14" s="102"/>
      <c r="GF14" s="102"/>
      <c r="GG14" s="102"/>
      <c r="GH14" s="102"/>
      <c r="GI14" s="102"/>
      <c r="GJ14" s="102"/>
      <c r="GK14" s="102"/>
      <c r="GL14" s="102"/>
      <c r="GM14" s="102"/>
      <c r="GN14" s="102"/>
      <c r="GO14" s="102"/>
      <c r="GP14" s="102"/>
      <c r="GQ14" s="102"/>
      <c r="GR14" s="102"/>
      <c r="GS14" s="102"/>
      <c r="GT14" s="102"/>
      <c r="GU14" s="102"/>
      <c r="GV14" s="102"/>
      <c r="GW14" s="102"/>
      <c r="GX14" s="102"/>
      <c r="GY14" s="102"/>
      <c r="GZ14" s="102"/>
      <c r="HA14" s="102"/>
      <c r="HB14" s="102"/>
      <c r="HC14" s="102"/>
      <c r="HD14" s="102"/>
      <c r="HE14" s="102"/>
      <c r="HF14" s="102"/>
      <c r="HG14" s="102"/>
      <c r="HH14" s="102"/>
      <c r="HI14" s="102"/>
      <c r="HJ14" s="102"/>
      <c r="HK14" s="102"/>
      <c r="HL14" s="102"/>
      <c r="HM14" s="102"/>
      <c r="HN14" s="102"/>
      <c r="HO14" s="102"/>
      <c r="HP14" s="102"/>
      <c r="HQ14" s="102"/>
      <c r="HR14" s="102"/>
      <c r="HS14" s="102"/>
      <c r="HT14" s="102"/>
      <c r="HU14" s="102"/>
      <c r="HV14" s="102"/>
      <c r="HW14" s="102"/>
      <c r="HX14" s="102"/>
      <c r="HY14" s="102"/>
      <c r="HZ14" s="102"/>
      <c r="IA14" s="102"/>
      <c r="IB14" s="102"/>
      <c r="IC14" s="102"/>
      <c r="ID14" s="102"/>
      <c r="IE14" s="102"/>
      <c r="IF14" s="102"/>
      <c r="IG14" s="102"/>
      <c r="IH14" s="102"/>
      <c r="II14" s="102"/>
      <c r="IJ14" s="102"/>
      <c r="IK14" s="102"/>
      <c r="IL14" s="102"/>
      <c r="IM14" s="102"/>
      <c r="IN14" s="102"/>
      <c r="IO14" s="102"/>
      <c r="IP14" s="102"/>
      <c r="IQ14" s="102"/>
      <c r="IR14" s="102"/>
      <c r="IS14" s="102"/>
      <c r="IT14" s="102"/>
      <c r="IU14" s="102"/>
      <c r="IV14" s="102"/>
      <c r="IW14" s="102"/>
      <c r="IX14" s="102"/>
      <c r="IY14" s="102"/>
      <c r="IZ14" s="102"/>
      <c r="JA14" s="102"/>
      <c r="JB14" s="102"/>
      <c r="JC14" s="102"/>
      <c r="JD14" s="102"/>
      <c r="JE14" s="102"/>
      <c r="JF14" s="102"/>
      <c r="JG14" s="102"/>
      <c r="JH14" s="102"/>
      <c r="JI14" s="102"/>
      <c r="JJ14" s="102"/>
      <c r="JK14" s="102"/>
      <c r="JL14" s="102"/>
      <c r="JM14" s="102"/>
      <c r="JN14" s="102"/>
      <c r="JO14" s="102"/>
      <c r="JP14" s="102"/>
      <c r="JQ14" s="102"/>
      <c r="JR14" s="102"/>
      <c r="JS14" s="102"/>
      <c r="JT14" s="102"/>
      <c r="JU14" s="102"/>
      <c r="JV14" s="102"/>
      <c r="JW14" s="102"/>
      <c r="JX14" s="102"/>
      <c r="JY14" s="102"/>
      <c r="JZ14" s="102"/>
      <c r="KA14" s="102"/>
      <c r="KB14" s="102"/>
      <c r="KC14" s="102"/>
      <c r="KD14" s="102"/>
      <c r="KE14" s="102"/>
      <c r="KF14" s="102"/>
      <c r="KG14" s="102"/>
      <c r="KH14" s="102"/>
      <c r="KI14" s="102"/>
      <c r="KJ14" s="102"/>
      <c r="KK14" s="102"/>
      <c r="KL14" s="102"/>
      <c r="KM14" s="102"/>
      <c r="KN14" s="102"/>
      <c r="KO14" s="102"/>
      <c r="KP14" s="102"/>
      <c r="KQ14" s="102"/>
      <c r="KR14" s="102"/>
      <c r="KS14" s="102"/>
      <c r="KT14" s="102"/>
      <c r="KU14" s="102"/>
      <c r="KV14" s="102"/>
      <c r="KW14" s="102"/>
      <c r="KX14" s="102"/>
      <c r="KY14" s="102"/>
      <c r="KZ14" s="102"/>
      <c r="LA14" s="102"/>
      <c r="LB14" s="102"/>
      <c r="LC14" s="102"/>
      <c r="LD14" s="102"/>
      <c r="LE14" s="102"/>
      <c r="LF14" s="102"/>
      <c r="LG14" s="102"/>
      <c r="LH14" s="102"/>
      <c r="LI14" s="102"/>
      <c r="LJ14" s="102"/>
      <c r="LK14" s="102"/>
      <c r="LL14" s="102"/>
      <c r="LM14" s="102"/>
      <c r="LN14" s="102"/>
      <c r="LO14" s="102"/>
      <c r="LP14" s="102"/>
      <c r="LQ14" s="102"/>
      <c r="LR14" s="102"/>
      <c r="LS14" s="102"/>
      <c r="LT14" s="102"/>
      <c r="LU14" s="102"/>
      <c r="LV14" s="102"/>
      <c r="LW14" s="102"/>
      <c r="LX14" s="102"/>
      <c r="LY14" s="102"/>
    </row>
    <row r="15" s="128" customFormat="1" ht="19.5" customHeight="1">
      <c r="A15" s="118" t="s">
        <v>315</v>
      </c>
      <c r="B15" s="118"/>
      <c r="C15" s="118"/>
      <c r="D15" s="118"/>
      <c r="E15" s="118"/>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c r="EO15" s="102"/>
      <c r="EP15" s="102"/>
      <c r="EQ15" s="102"/>
      <c r="ER15" s="102"/>
      <c r="ES15" s="102"/>
      <c r="ET15" s="102"/>
      <c r="EU15" s="102"/>
      <c r="EV15" s="102"/>
      <c r="EW15" s="102"/>
      <c r="EX15" s="102"/>
      <c r="EY15" s="102"/>
      <c r="EZ15" s="102"/>
      <c r="FA15" s="102"/>
      <c r="FB15" s="102"/>
      <c r="FC15" s="102"/>
      <c r="FD15" s="102"/>
      <c r="FE15" s="102"/>
      <c r="FF15" s="102"/>
      <c r="FG15" s="102"/>
      <c r="FH15" s="102"/>
      <c r="FI15" s="102"/>
      <c r="FJ15" s="102"/>
      <c r="FK15" s="102"/>
      <c r="FL15" s="102"/>
      <c r="FM15" s="102"/>
      <c r="FN15" s="102"/>
      <c r="FO15" s="102"/>
      <c r="FP15" s="102"/>
      <c r="FQ15" s="102"/>
      <c r="FR15" s="102"/>
      <c r="FS15" s="102"/>
      <c r="FT15" s="102"/>
      <c r="FU15" s="102"/>
      <c r="FV15" s="102"/>
      <c r="FW15" s="102"/>
      <c r="FX15" s="102"/>
      <c r="FY15" s="102"/>
      <c r="FZ15" s="102"/>
      <c r="GA15" s="102"/>
      <c r="GB15" s="102"/>
      <c r="GC15" s="102"/>
      <c r="GD15" s="102"/>
      <c r="GE15" s="102"/>
      <c r="GF15" s="102"/>
      <c r="GG15" s="102"/>
      <c r="GH15" s="102"/>
      <c r="GI15" s="102"/>
      <c r="GJ15" s="102"/>
      <c r="GK15" s="102"/>
      <c r="GL15" s="102"/>
      <c r="GM15" s="102"/>
      <c r="GN15" s="102"/>
      <c r="GO15" s="102"/>
      <c r="GP15" s="102"/>
      <c r="GQ15" s="102"/>
      <c r="GR15" s="102"/>
      <c r="GS15" s="102"/>
      <c r="GT15" s="102"/>
      <c r="GU15" s="102"/>
      <c r="GV15" s="102"/>
      <c r="GW15" s="102"/>
      <c r="GX15" s="102"/>
      <c r="GY15" s="102"/>
      <c r="GZ15" s="102"/>
      <c r="HA15" s="102"/>
      <c r="HB15" s="102"/>
      <c r="HC15" s="102"/>
      <c r="HD15" s="102"/>
      <c r="HE15" s="102"/>
      <c r="HF15" s="102"/>
      <c r="HG15" s="102"/>
      <c r="HH15" s="102"/>
      <c r="HI15" s="102"/>
      <c r="HJ15" s="102"/>
      <c r="HK15" s="102"/>
      <c r="HL15" s="102"/>
      <c r="HM15" s="102"/>
      <c r="HN15" s="102"/>
      <c r="HO15" s="102"/>
      <c r="HP15" s="102"/>
      <c r="HQ15" s="102"/>
      <c r="HR15" s="102"/>
      <c r="HS15" s="102"/>
      <c r="HT15" s="102"/>
      <c r="HU15" s="102"/>
      <c r="HV15" s="102"/>
      <c r="HW15" s="102"/>
      <c r="HX15" s="102"/>
      <c r="HY15" s="102"/>
      <c r="HZ15" s="102"/>
      <c r="IA15" s="102"/>
      <c r="IB15" s="102"/>
      <c r="IC15" s="102"/>
      <c r="ID15" s="102"/>
      <c r="IE15" s="102"/>
      <c r="IF15" s="102"/>
      <c r="IG15" s="102"/>
      <c r="IH15" s="102"/>
      <c r="II15" s="102"/>
      <c r="IJ15" s="102"/>
      <c r="IK15" s="102"/>
      <c r="IL15" s="102"/>
      <c r="IM15" s="102"/>
      <c r="IN15" s="102"/>
      <c r="IO15" s="102"/>
      <c r="IP15" s="102"/>
      <c r="IQ15" s="102"/>
      <c r="IR15" s="102"/>
      <c r="IS15" s="102"/>
      <c r="IT15" s="102"/>
      <c r="IU15" s="102"/>
      <c r="IV15" s="102"/>
      <c r="IW15" s="102"/>
      <c r="IX15" s="102"/>
      <c r="IY15" s="102"/>
      <c r="IZ15" s="102"/>
      <c r="JA15" s="102"/>
      <c r="JB15" s="102"/>
      <c r="JC15" s="102"/>
      <c r="JD15" s="102"/>
      <c r="JE15" s="102"/>
      <c r="JF15" s="102"/>
      <c r="JG15" s="102"/>
      <c r="JH15" s="102"/>
      <c r="JI15" s="102"/>
      <c r="JJ15" s="102"/>
      <c r="JK15" s="102"/>
      <c r="JL15" s="102"/>
      <c r="JM15" s="102"/>
      <c r="JN15" s="102"/>
      <c r="JO15" s="102"/>
      <c r="JP15" s="102"/>
      <c r="JQ15" s="102"/>
      <c r="JR15" s="102"/>
      <c r="JS15" s="102"/>
      <c r="JT15" s="102"/>
      <c r="JU15" s="102"/>
      <c r="JV15" s="102"/>
      <c r="JW15" s="102"/>
      <c r="JX15" s="102"/>
      <c r="JY15" s="102"/>
      <c r="JZ15" s="102"/>
      <c r="KA15" s="102"/>
      <c r="KB15" s="102"/>
      <c r="KC15" s="102"/>
      <c r="KD15" s="102"/>
      <c r="KE15" s="102"/>
      <c r="KF15" s="102"/>
      <c r="KG15" s="102"/>
      <c r="KH15" s="102"/>
      <c r="KI15" s="102"/>
      <c r="KJ15" s="102"/>
      <c r="KK15" s="102"/>
      <c r="KL15" s="102"/>
      <c r="KM15" s="102"/>
      <c r="KN15" s="102"/>
      <c r="KO15" s="102"/>
      <c r="KP15" s="102"/>
      <c r="KQ15" s="102"/>
      <c r="KR15" s="102"/>
      <c r="KS15" s="102"/>
      <c r="KT15" s="102"/>
      <c r="KU15" s="102"/>
      <c r="KV15" s="102"/>
      <c r="KW15" s="102"/>
      <c r="KX15" s="102"/>
      <c r="KY15" s="102"/>
      <c r="KZ15" s="102"/>
      <c r="LA15" s="102"/>
      <c r="LB15" s="102"/>
      <c r="LC15" s="102"/>
      <c r="LD15" s="102"/>
      <c r="LE15" s="102"/>
      <c r="LF15" s="102"/>
      <c r="LG15" s="102"/>
      <c r="LH15" s="102"/>
      <c r="LI15" s="102"/>
      <c r="LJ15" s="102"/>
      <c r="LK15" s="102"/>
      <c r="LL15" s="102"/>
      <c r="LM15" s="102"/>
      <c r="LN15" s="102"/>
      <c r="LO15" s="102"/>
      <c r="LP15" s="102"/>
      <c r="LQ15" s="102"/>
      <c r="LR15" s="102"/>
      <c r="LS15" s="102"/>
      <c r="LT15" s="102"/>
      <c r="LU15" s="102"/>
      <c r="LV15" s="102"/>
      <c r="LW15" s="102"/>
      <c r="LX15" s="102"/>
      <c r="LY15" s="102"/>
    </row>
    <row r="16" s="119" customFormat="1" ht="35.200000000000003" customHeight="1">
      <c r="A16" s="120" t="s">
        <v>316</v>
      </c>
      <c r="B16" s="120" t="s">
        <v>311</v>
      </c>
      <c r="C16" s="120" t="s">
        <v>312</v>
      </c>
      <c r="D16" s="120" t="s">
        <v>313</v>
      </c>
      <c r="E16" s="120" t="s">
        <v>314</v>
      </c>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c r="II16" s="121"/>
      <c r="IJ16" s="121"/>
      <c r="IK16" s="121"/>
      <c r="IL16" s="121"/>
      <c r="IM16" s="121"/>
      <c r="IN16" s="121"/>
      <c r="IO16" s="121"/>
      <c r="IP16" s="121"/>
      <c r="IQ16" s="121"/>
      <c r="IR16" s="121"/>
      <c r="IS16" s="121"/>
      <c r="IT16" s="121"/>
      <c r="IU16" s="121"/>
      <c r="IV16" s="121"/>
      <c r="IW16" s="121"/>
      <c r="IX16" s="121"/>
      <c r="IY16" s="121"/>
      <c r="IZ16" s="121"/>
      <c r="JA16" s="121"/>
      <c r="JB16" s="121"/>
      <c r="JC16" s="121"/>
      <c r="JD16" s="121"/>
      <c r="JE16" s="121"/>
      <c r="JF16" s="121"/>
      <c r="JG16" s="121"/>
      <c r="JH16" s="121"/>
      <c r="JI16" s="121"/>
      <c r="JJ16" s="121"/>
      <c r="JK16" s="121"/>
      <c r="JL16" s="121"/>
      <c r="JM16" s="121"/>
      <c r="JN16" s="121"/>
      <c r="JO16" s="121"/>
      <c r="JP16" s="121"/>
      <c r="JQ16" s="121"/>
      <c r="JR16" s="121"/>
      <c r="JS16" s="121"/>
      <c r="JT16" s="121"/>
      <c r="JU16" s="121"/>
      <c r="JV16" s="121"/>
      <c r="JW16" s="121"/>
      <c r="JX16" s="121"/>
      <c r="JY16" s="121"/>
      <c r="JZ16" s="121"/>
      <c r="KA16" s="121"/>
      <c r="KB16" s="121"/>
      <c r="KC16" s="121"/>
      <c r="KD16" s="121"/>
      <c r="KE16" s="121"/>
      <c r="KF16" s="121"/>
      <c r="KG16" s="121"/>
      <c r="KH16" s="121"/>
      <c r="KI16" s="121"/>
      <c r="KJ16" s="121"/>
      <c r="KK16" s="121"/>
      <c r="KL16" s="121"/>
      <c r="KM16" s="121"/>
      <c r="KN16" s="121"/>
      <c r="KO16" s="121"/>
      <c r="KP16" s="121"/>
      <c r="KQ16" s="121"/>
      <c r="KR16" s="121"/>
      <c r="KS16" s="121"/>
      <c r="KT16" s="121"/>
      <c r="KU16" s="121"/>
      <c r="KV16" s="121"/>
      <c r="KW16" s="121"/>
      <c r="KX16" s="121"/>
      <c r="KY16" s="121"/>
      <c r="KZ16" s="121"/>
      <c r="LA16" s="121"/>
      <c r="LB16" s="121"/>
      <c r="LC16" s="121"/>
      <c r="LD16" s="121"/>
      <c r="LE16" s="121"/>
      <c r="LF16" s="121"/>
      <c r="LG16" s="121"/>
      <c r="LH16" s="121"/>
      <c r="LI16" s="121"/>
      <c r="LJ16" s="121"/>
      <c r="LK16" s="121"/>
      <c r="LL16" s="121"/>
      <c r="LM16" s="121"/>
      <c r="LN16" s="121"/>
      <c r="LO16" s="121"/>
      <c r="LP16" s="121"/>
      <c r="LQ16" s="121"/>
      <c r="LR16" s="121"/>
      <c r="LS16" s="121"/>
      <c r="LT16" s="121"/>
      <c r="LU16" s="121"/>
      <c r="LV16" s="121"/>
      <c r="LW16" s="121"/>
      <c r="LX16" s="121"/>
      <c r="LY16" s="121"/>
    </row>
    <row r="17" ht="18" customHeight="1">
      <c r="A17" s="129" t="s">
        <v>33</v>
      </c>
      <c r="B17" s="125">
        <f>COUNTIF('2. Yes-No Checklist'!E6:E29,"Y")</f>
        <v>0</v>
      </c>
      <c r="C17" s="125">
        <f>24-COUNTIF('2. Yes-No Checklist'!E6:E29,"NA")</f>
        <v>24</v>
      </c>
      <c r="D17" s="126">
        <f t="shared" si="2"/>
        <v>0</v>
      </c>
      <c r="E17" s="127" t="str">
        <f t="shared" si="3"/>
        <v xml:space="preserve">Not Integrated &lt;50%</v>
      </c>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c r="EO17" s="102"/>
      <c r="EP17" s="102"/>
      <c r="EQ17" s="102"/>
      <c r="ER17" s="102"/>
      <c r="ES17" s="102"/>
      <c r="ET17" s="102"/>
      <c r="EU17" s="102"/>
      <c r="EV17" s="102"/>
      <c r="EW17" s="102"/>
      <c r="EX17" s="102"/>
      <c r="EY17" s="102"/>
      <c r="EZ17" s="102"/>
      <c r="FA17" s="102"/>
      <c r="FB17" s="102"/>
      <c r="FC17" s="102"/>
      <c r="FD17" s="102"/>
      <c r="FE17" s="102"/>
      <c r="FF17" s="102"/>
      <c r="FG17" s="102"/>
      <c r="FH17" s="102"/>
      <c r="FI17" s="102"/>
      <c r="FJ17" s="102"/>
      <c r="FK17" s="102"/>
      <c r="FL17" s="102"/>
      <c r="FM17" s="102"/>
      <c r="FN17" s="102"/>
      <c r="FO17" s="102"/>
      <c r="FP17" s="102"/>
      <c r="FQ17" s="102"/>
      <c r="FR17" s="102"/>
      <c r="FS17" s="102"/>
      <c r="FT17" s="102"/>
      <c r="FU17" s="102"/>
      <c r="FV17" s="102"/>
      <c r="FW17" s="102"/>
      <c r="FX17" s="102"/>
      <c r="FY17" s="102"/>
      <c r="FZ17" s="102"/>
      <c r="GA17" s="102"/>
      <c r="GB17" s="102"/>
      <c r="GC17" s="102"/>
      <c r="GD17" s="102"/>
      <c r="GE17" s="102"/>
      <c r="GF17" s="102"/>
      <c r="GG17" s="102"/>
      <c r="GH17" s="102"/>
      <c r="GI17" s="102"/>
      <c r="GJ17" s="102"/>
      <c r="GK17" s="102"/>
      <c r="GL17" s="102"/>
      <c r="GM17" s="102"/>
      <c r="GN17" s="102"/>
      <c r="GO17" s="102"/>
      <c r="GP17" s="102"/>
      <c r="GQ17" s="102"/>
      <c r="GR17" s="102"/>
      <c r="GS17" s="102"/>
      <c r="GT17" s="102"/>
      <c r="GU17" s="102"/>
      <c r="GV17" s="102"/>
      <c r="GW17" s="102"/>
      <c r="GX17" s="102"/>
      <c r="GY17" s="102"/>
      <c r="GZ17" s="102"/>
      <c r="HA17" s="102"/>
      <c r="HB17" s="102"/>
      <c r="HC17" s="102"/>
      <c r="HD17" s="102"/>
      <c r="HE17" s="102"/>
      <c r="HF17" s="102"/>
      <c r="HG17" s="102"/>
      <c r="HH17" s="102"/>
      <c r="HI17" s="102"/>
      <c r="HJ17" s="102"/>
      <c r="HK17" s="102"/>
      <c r="HL17" s="102"/>
      <c r="HM17" s="102"/>
      <c r="HN17" s="102"/>
      <c r="HO17" s="102"/>
      <c r="HP17" s="102"/>
      <c r="HQ17" s="102"/>
      <c r="HR17" s="102"/>
      <c r="HS17" s="102"/>
      <c r="HT17" s="102"/>
      <c r="HU17" s="102"/>
      <c r="HV17" s="102"/>
      <c r="HW17" s="102"/>
      <c r="HX17" s="102"/>
      <c r="HY17" s="102"/>
      <c r="HZ17" s="102"/>
      <c r="IA17" s="102"/>
      <c r="IB17" s="102"/>
      <c r="IC17" s="102"/>
      <c r="ID17" s="102"/>
      <c r="IE17" s="102"/>
      <c r="IF17" s="102"/>
      <c r="IG17" s="102"/>
      <c r="IH17" s="102"/>
      <c r="II17" s="102"/>
      <c r="IJ17" s="102"/>
      <c r="IK17" s="102"/>
      <c r="IL17" s="102"/>
      <c r="IM17" s="102"/>
      <c r="IN17" s="102"/>
      <c r="IO17" s="102"/>
      <c r="IP17" s="102"/>
      <c r="IQ17" s="102"/>
      <c r="IR17" s="102"/>
      <c r="IS17" s="102"/>
      <c r="IT17" s="102"/>
      <c r="IU17" s="102"/>
      <c r="IV17" s="102"/>
      <c r="IW17" s="102"/>
      <c r="IX17" s="102"/>
      <c r="IY17" s="102"/>
      <c r="IZ17" s="102"/>
      <c r="JA17" s="102"/>
      <c r="JB17" s="102"/>
      <c r="JC17" s="102"/>
      <c r="JD17" s="102"/>
      <c r="JE17" s="102"/>
      <c r="JF17" s="102"/>
      <c r="JG17" s="102"/>
      <c r="JH17" s="102"/>
      <c r="JI17" s="102"/>
      <c r="JJ17" s="102"/>
      <c r="JK17" s="102"/>
      <c r="JL17" s="102"/>
      <c r="JM17" s="102"/>
      <c r="JN17" s="102"/>
      <c r="JO17" s="102"/>
      <c r="JP17" s="102"/>
      <c r="JQ17" s="102"/>
      <c r="JR17" s="102"/>
      <c r="JS17" s="102"/>
      <c r="JT17" s="102"/>
      <c r="JU17" s="102"/>
      <c r="JV17" s="102"/>
      <c r="JW17" s="102"/>
      <c r="JX17" s="102"/>
      <c r="JY17" s="102"/>
      <c r="JZ17" s="102"/>
      <c r="KA17" s="102"/>
      <c r="KB17" s="102"/>
      <c r="KC17" s="102"/>
      <c r="KD17" s="102"/>
      <c r="KE17" s="102"/>
      <c r="KF17" s="102"/>
      <c r="KG17" s="102"/>
      <c r="KH17" s="102"/>
      <c r="KI17" s="102"/>
      <c r="KJ17" s="102"/>
      <c r="KK17" s="102"/>
      <c r="KL17" s="102"/>
      <c r="KM17" s="102"/>
      <c r="KN17" s="102"/>
      <c r="KO17" s="102"/>
      <c r="KP17" s="102"/>
      <c r="KQ17" s="102"/>
      <c r="KR17" s="102"/>
      <c r="KS17" s="102"/>
      <c r="KT17" s="102"/>
      <c r="KU17" s="102"/>
      <c r="KV17" s="102"/>
      <c r="KW17" s="102"/>
      <c r="KX17" s="102"/>
      <c r="KY17" s="102"/>
      <c r="KZ17" s="102"/>
      <c r="LA17" s="102"/>
      <c r="LB17" s="102"/>
      <c r="LC17" s="102"/>
      <c r="LD17" s="102"/>
      <c r="LE17" s="102"/>
      <c r="LF17" s="102"/>
      <c r="LG17" s="102"/>
      <c r="LH17" s="102"/>
      <c r="LI17" s="102"/>
      <c r="LJ17" s="102"/>
      <c r="LK17" s="102"/>
      <c r="LL17" s="102"/>
      <c r="LM17" s="102"/>
      <c r="LN17" s="102"/>
      <c r="LO17" s="102"/>
      <c r="LP17" s="102"/>
      <c r="LQ17" s="102"/>
      <c r="LR17" s="102"/>
      <c r="LS17" s="102"/>
      <c r="LT17" s="102"/>
      <c r="LU17" s="102"/>
      <c r="LV17" s="102"/>
      <c r="LW17" s="102"/>
      <c r="LX17" s="102"/>
      <c r="LY17" s="102"/>
    </row>
    <row r="18" ht="18" customHeight="1">
      <c r="A18" s="130" t="s">
        <v>135</v>
      </c>
      <c r="B18" s="125">
        <f>COUNTIF('2. Yes-No Checklist'!E30:E41,"Y")</f>
        <v>0</v>
      </c>
      <c r="C18" s="125">
        <f>12-COUNTIF('2. Yes-No Checklist'!E30:E41,"NA")</f>
        <v>12</v>
      </c>
      <c r="D18" s="126">
        <f t="shared" si="2"/>
        <v>0</v>
      </c>
      <c r="E18" s="127" t="str">
        <f t="shared" si="3"/>
        <v xml:space="preserve">Not Integrated &lt;50%</v>
      </c>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c r="EO18" s="102"/>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c r="FM18" s="102"/>
      <c r="FN18" s="102"/>
      <c r="FO18" s="102"/>
      <c r="FP18" s="102"/>
      <c r="FQ18" s="102"/>
      <c r="FR18" s="102"/>
      <c r="FS18" s="102"/>
      <c r="FT18" s="102"/>
      <c r="FU18" s="102"/>
      <c r="FV18" s="102"/>
      <c r="FW18" s="102"/>
      <c r="FX18" s="102"/>
      <c r="FY18" s="102"/>
      <c r="FZ18" s="102"/>
      <c r="GA18" s="102"/>
      <c r="GB18" s="102"/>
      <c r="GC18" s="102"/>
      <c r="GD18" s="102"/>
      <c r="GE18" s="102"/>
      <c r="GF18" s="102"/>
      <c r="GG18" s="102"/>
      <c r="GH18" s="102"/>
      <c r="GI18" s="102"/>
      <c r="GJ18" s="102"/>
      <c r="GK18" s="102"/>
      <c r="GL18" s="102"/>
      <c r="GM18" s="102"/>
      <c r="GN18" s="102"/>
      <c r="GO18" s="102"/>
      <c r="GP18" s="102"/>
      <c r="GQ18" s="102"/>
      <c r="GR18" s="102"/>
      <c r="GS18" s="102"/>
      <c r="GT18" s="102"/>
      <c r="GU18" s="102"/>
      <c r="GV18" s="102"/>
      <c r="GW18" s="102"/>
      <c r="GX18" s="102"/>
      <c r="GY18" s="102"/>
      <c r="GZ18" s="102"/>
      <c r="HA18" s="102"/>
      <c r="HB18" s="102"/>
      <c r="HC18" s="102"/>
      <c r="HD18" s="102"/>
      <c r="HE18" s="102"/>
      <c r="HF18" s="102"/>
      <c r="HG18" s="102"/>
      <c r="HH18" s="102"/>
      <c r="HI18" s="102"/>
      <c r="HJ18" s="102"/>
      <c r="HK18" s="102"/>
      <c r="HL18" s="102"/>
      <c r="HM18" s="102"/>
      <c r="HN18" s="102"/>
      <c r="HO18" s="102"/>
      <c r="HP18" s="102"/>
      <c r="HQ18" s="102"/>
      <c r="HR18" s="102"/>
      <c r="HS18" s="102"/>
      <c r="HT18" s="102"/>
      <c r="HU18" s="102"/>
      <c r="HV18" s="102"/>
      <c r="HW18" s="102"/>
      <c r="HX18" s="102"/>
      <c r="HY18" s="102"/>
      <c r="HZ18" s="102"/>
      <c r="IA18" s="102"/>
      <c r="IB18" s="102"/>
      <c r="IC18" s="102"/>
      <c r="ID18" s="102"/>
      <c r="IE18" s="102"/>
      <c r="IF18" s="102"/>
      <c r="IG18" s="102"/>
      <c r="IH18" s="102"/>
      <c r="II18" s="102"/>
      <c r="IJ18" s="102"/>
      <c r="IK18" s="102"/>
      <c r="IL18" s="102"/>
      <c r="IM18" s="102"/>
      <c r="IN18" s="102"/>
      <c r="IO18" s="102"/>
      <c r="IP18" s="102"/>
      <c r="IQ18" s="102"/>
      <c r="IR18" s="102"/>
      <c r="IS18" s="102"/>
      <c r="IT18" s="102"/>
      <c r="IU18" s="102"/>
      <c r="IV18" s="102"/>
      <c r="IW18" s="102"/>
      <c r="IX18" s="102"/>
      <c r="IY18" s="102"/>
      <c r="IZ18" s="102"/>
      <c r="JA18" s="102"/>
      <c r="JB18" s="102"/>
      <c r="JC18" s="102"/>
      <c r="JD18" s="102"/>
      <c r="JE18" s="102"/>
      <c r="JF18" s="102"/>
      <c r="JG18" s="102"/>
      <c r="JH18" s="102"/>
      <c r="JI18" s="102"/>
      <c r="JJ18" s="102"/>
      <c r="JK18" s="102"/>
      <c r="JL18" s="102"/>
      <c r="JM18" s="102"/>
      <c r="JN18" s="102"/>
      <c r="JO18" s="102"/>
      <c r="JP18" s="102"/>
      <c r="JQ18" s="102"/>
      <c r="JR18" s="102"/>
      <c r="JS18" s="102"/>
      <c r="JT18" s="102"/>
      <c r="JU18" s="102"/>
      <c r="JV18" s="102"/>
      <c r="JW18" s="102"/>
      <c r="JX18" s="102"/>
      <c r="JY18" s="102"/>
      <c r="JZ18" s="102"/>
      <c r="KA18" s="102"/>
      <c r="KB18" s="102"/>
      <c r="KC18" s="102"/>
      <c r="KD18" s="102"/>
      <c r="KE18" s="102"/>
      <c r="KF18" s="102"/>
      <c r="KG18" s="102"/>
      <c r="KH18" s="102"/>
      <c r="KI18" s="102"/>
      <c r="KJ18" s="102"/>
      <c r="KK18" s="102"/>
      <c r="KL18" s="102"/>
      <c r="KM18" s="102"/>
      <c r="KN18" s="102"/>
      <c r="KO18" s="102"/>
      <c r="KP18" s="102"/>
      <c r="KQ18" s="102"/>
      <c r="KR18" s="102"/>
      <c r="KS18" s="102"/>
      <c r="KT18" s="102"/>
      <c r="KU18" s="102"/>
      <c r="KV18" s="102"/>
      <c r="KW18" s="102"/>
      <c r="KX18" s="102"/>
      <c r="KY18" s="102"/>
      <c r="KZ18" s="102"/>
      <c r="LA18" s="102"/>
      <c r="LB18" s="102"/>
      <c r="LC18" s="102"/>
      <c r="LD18" s="102"/>
      <c r="LE18" s="102"/>
      <c r="LF18" s="102"/>
      <c r="LG18" s="102"/>
      <c r="LH18" s="102"/>
      <c r="LI18" s="102"/>
      <c r="LJ18" s="102"/>
      <c r="LK18" s="102"/>
      <c r="LL18" s="102"/>
      <c r="LM18" s="102"/>
      <c r="LN18" s="102"/>
      <c r="LO18" s="102"/>
      <c r="LP18" s="102"/>
      <c r="LQ18" s="102"/>
      <c r="LR18" s="102"/>
      <c r="LS18" s="102"/>
      <c r="LT18" s="102"/>
      <c r="LU18" s="102"/>
      <c r="LV18" s="102"/>
      <c r="LW18" s="102"/>
      <c r="LX18" s="102"/>
      <c r="LY18" s="102"/>
    </row>
    <row r="19" ht="18" customHeight="1">
      <c r="A19" s="131" t="s">
        <v>186</v>
      </c>
      <c r="B19" s="125">
        <f>COUNTIF('2. Yes-No Checklist'!E42:E53,"Y")</f>
        <v>0</v>
      </c>
      <c r="C19" s="125">
        <f>12-COUNTIF('2. Yes-No Checklist'!E42:E53,"NA")</f>
        <v>12</v>
      </c>
      <c r="D19" s="126">
        <f t="shared" si="2"/>
        <v>0</v>
      </c>
      <c r="E19" s="127" t="str">
        <f t="shared" si="3"/>
        <v xml:space="preserve">Not Integrated &lt;50%</v>
      </c>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c r="EO19" s="102"/>
      <c r="EP19" s="102"/>
      <c r="EQ19" s="102"/>
      <c r="ER19" s="102"/>
      <c r="ES19" s="102"/>
      <c r="ET19" s="102"/>
      <c r="EU19" s="102"/>
      <c r="EV19" s="102"/>
      <c r="EW19" s="102"/>
      <c r="EX19" s="102"/>
      <c r="EY19" s="102"/>
      <c r="EZ19" s="102"/>
      <c r="FA19" s="102"/>
      <c r="FB19" s="102"/>
      <c r="FC19" s="102"/>
      <c r="FD19" s="102"/>
      <c r="FE19" s="102"/>
      <c r="FF19" s="102"/>
      <c r="FG19" s="102"/>
      <c r="FH19" s="102"/>
      <c r="FI19" s="102"/>
      <c r="FJ19" s="102"/>
      <c r="FK19" s="102"/>
      <c r="FL19" s="102"/>
      <c r="FM19" s="102"/>
      <c r="FN19" s="102"/>
      <c r="FO19" s="102"/>
      <c r="FP19" s="102"/>
      <c r="FQ19" s="102"/>
      <c r="FR19" s="102"/>
      <c r="FS19" s="102"/>
      <c r="FT19" s="102"/>
      <c r="FU19" s="102"/>
      <c r="FV19" s="102"/>
      <c r="FW19" s="102"/>
      <c r="FX19" s="102"/>
      <c r="FY19" s="102"/>
      <c r="FZ19" s="102"/>
      <c r="GA19" s="102"/>
      <c r="GB19" s="102"/>
      <c r="GC19" s="102"/>
      <c r="GD19" s="102"/>
      <c r="GE19" s="102"/>
      <c r="GF19" s="102"/>
      <c r="GG19" s="102"/>
      <c r="GH19" s="102"/>
      <c r="GI19" s="102"/>
      <c r="GJ19" s="102"/>
      <c r="GK19" s="102"/>
      <c r="GL19" s="102"/>
      <c r="GM19" s="102"/>
      <c r="GN19" s="102"/>
      <c r="GO19" s="102"/>
      <c r="GP19" s="102"/>
      <c r="GQ19" s="102"/>
      <c r="GR19" s="102"/>
      <c r="GS19" s="102"/>
      <c r="GT19" s="102"/>
      <c r="GU19" s="102"/>
      <c r="GV19" s="102"/>
      <c r="GW19" s="102"/>
      <c r="GX19" s="102"/>
      <c r="GY19" s="102"/>
      <c r="GZ19" s="102"/>
      <c r="HA19" s="102"/>
      <c r="HB19" s="102"/>
      <c r="HC19" s="102"/>
      <c r="HD19" s="102"/>
      <c r="HE19" s="102"/>
      <c r="HF19" s="102"/>
      <c r="HG19" s="102"/>
      <c r="HH19" s="102"/>
      <c r="HI19" s="102"/>
      <c r="HJ19" s="102"/>
      <c r="HK19" s="102"/>
      <c r="HL19" s="102"/>
      <c r="HM19" s="102"/>
      <c r="HN19" s="102"/>
      <c r="HO19" s="102"/>
      <c r="HP19" s="102"/>
      <c r="HQ19" s="102"/>
      <c r="HR19" s="102"/>
      <c r="HS19" s="102"/>
      <c r="HT19" s="102"/>
      <c r="HU19" s="102"/>
      <c r="HV19" s="102"/>
      <c r="HW19" s="102"/>
      <c r="HX19" s="102"/>
      <c r="HY19" s="102"/>
      <c r="HZ19" s="102"/>
      <c r="IA19" s="102"/>
      <c r="IB19" s="102"/>
      <c r="IC19" s="102"/>
      <c r="ID19" s="102"/>
      <c r="IE19" s="102"/>
      <c r="IF19" s="102"/>
      <c r="IG19" s="102"/>
      <c r="IH19" s="102"/>
      <c r="II19" s="102"/>
      <c r="IJ19" s="102"/>
      <c r="IK19" s="102"/>
      <c r="IL19" s="102"/>
      <c r="IM19" s="102"/>
      <c r="IN19" s="102"/>
      <c r="IO19" s="102"/>
      <c r="IP19" s="102"/>
      <c r="IQ19" s="102"/>
      <c r="IR19" s="102"/>
      <c r="IS19" s="102"/>
      <c r="IT19" s="102"/>
      <c r="IU19" s="102"/>
      <c r="IV19" s="102"/>
      <c r="IW19" s="102"/>
      <c r="IX19" s="102"/>
      <c r="IY19" s="102"/>
      <c r="IZ19" s="102"/>
      <c r="JA19" s="102"/>
      <c r="JB19" s="102"/>
      <c r="JC19" s="102"/>
      <c r="JD19" s="102"/>
      <c r="JE19" s="102"/>
      <c r="JF19" s="102"/>
      <c r="JG19" s="102"/>
      <c r="JH19" s="102"/>
      <c r="JI19" s="102"/>
      <c r="JJ19" s="102"/>
      <c r="JK19" s="102"/>
      <c r="JL19" s="102"/>
      <c r="JM19" s="102"/>
      <c r="JN19" s="102"/>
      <c r="JO19" s="102"/>
      <c r="JP19" s="102"/>
      <c r="JQ19" s="102"/>
      <c r="JR19" s="102"/>
      <c r="JS19" s="102"/>
      <c r="JT19" s="102"/>
      <c r="JU19" s="102"/>
      <c r="JV19" s="102"/>
      <c r="JW19" s="102"/>
      <c r="JX19" s="102"/>
      <c r="JY19" s="102"/>
      <c r="JZ19" s="102"/>
      <c r="KA19" s="102"/>
      <c r="KB19" s="102"/>
      <c r="KC19" s="102"/>
      <c r="KD19" s="102"/>
      <c r="KE19" s="102"/>
      <c r="KF19" s="102"/>
      <c r="KG19" s="102"/>
      <c r="KH19" s="102"/>
      <c r="KI19" s="102"/>
      <c r="KJ19" s="102"/>
      <c r="KK19" s="102"/>
      <c r="KL19" s="102"/>
      <c r="KM19" s="102"/>
      <c r="KN19" s="102"/>
      <c r="KO19" s="102"/>
      <c r="KP19" s="102"/>
      <c r="KQ19" s="102"/>
      <c r="KR19" s="102"/>
      <c r="KS19" s="102"/>
      <c r="KT19" s="102"/>
      <c r="KU19" s="102"/>
      <c r="KV19" s="102"/>
      <c r="KW19" s="102"/>
      <c r="KX19" s="102"/>
      <c r="KY19" s="102"/>
      <c r="KZ19" s="102"/>
      <c r="LA19" s="102"/>
      <c r="LB19" s="102"/>
      <c r="LC19" s="102"/>
      <c r="LD19" s="102"/>
      <c r="LE19" s="102"/>
      <c r="LF19" s="102"/>
      <c r="LG19" s="102"/>
      <c r="LH19" s="102"/>
      <c r="LI19" s="102"/>
      <c r="LJ19" s="102"/>
      <c r="LK19" s="102"/>
      <c r="LL19" s="102"/>
      <c r="LM19" s="102"/>
      <c r="LN19" s="102"/>
      <c r="LO19" s="102"/>
      <c r="LP19" s="102"/>
      <c r="LQ19" s="102"/>
      <c r="LR19" s="102"/>
      <c r="LS19" s="102"/>
      <c r="LT19" s="102"/>
      <c r="LU19" s="102"/>
      <c r="LV19" s="102"/>
      <c r="LW19" s="102"/>
      <c r="LX19" s="102"/>
      <c r="LY19" s="102"/>
    </row>
    <row r="20" ht="15" customHeight="1">
      <c r="A20" s="103"/>
      <c r="B20" s="103"/>
      <c r="C20" s="103"/>
      <c r="D20" s="103"/>
      <c r="E20" s="103"/>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c r="EO20" s="102"/>
      <c r="EP20" s="102"/>
      <c r="EQ20" s="102"/>
      <c r="ER20" s="102"/>
      <c r="ES20" s="102"/>
      <c r="ET20" s="102"/>
      <c r="EU20" s="102"/>
      <c r="EV20" s="102"/>
      <c r="EW20" s="102"/>
      <c r="EX20" s="102"/>
      <c r="EY20" s="102"/>
      <c r="EZ20" s="102"/>
      <c r="FA20" s="102"/>
      <c r="FB20" s="102"/>
      <c r="FC20" s="102"/>
      <c r="FD20" s="102"/>
      <c r="FE20" s="102"/>
      <c r="FF20" s="102"/>
      <c r="FG20" s="102"/>
      <c r="FH20" s="102"/>
      <c r="FI20" s="102"/>
      <c r="FJ20" s="102"/>
      <c r="FK20" s="102"/>
      <c r="FL20" s="102"/>
      <c r="FM20" s="102"/>
      <c r="FN20" s="102"/>
      <c r="FO20" s="102"/>
      <c r="FP20" s="102"/>
      <c r="FQ20" s="102"/>
      <c r="FR20" s="102"/>
      <c r="FS20" s="102"/>
      <c r="FT20" s="102"/>
      <c r="FU20" s="102"/>
      <c r="FV20" s="102"/>
      <c r="FW20" s="102"/>
      <c r="FX20" s="102"/>
      <c r="FY20" s="102"/>
      <c r="FZ20" s="102"/>
      <c r="GA20" s="102"/>
      <c r="GB20" s="102"/>
      <c r="GC20" s="102"/>
      <c r="GD20" s="102"/>
      <c r="GE20" s="102"/>
      <c r="GF20" s="102"/>
      <c r="GG20" s="102"/>
      <c r="GH20" s="102"/>
      <c r="GI20" s="102"/>
      <c r="GJ20" s="102"/>
      <c r="GK20" s="102"/>
      <c r="GL20" s="102"/>
      <c r="GM20" s="102"/>
      <c r="GN20" s="102"/>
      <c r="GO20" s="102"/>
      <c r="GP20" s="102"/>
      <c r="GQ20" s="102"/>
      <c r="GR20" s="102"/>
      <c r="GS20" s="102"/>
      <c r="GT20" s="102"/>
      <c r="GU20" s="102"/>
      <c r="GV20" s="102"/>
      <c r="GW20" s="102"/>
      <c r="GX20" s="102"/>
      <c r="GY20" s="102"/>
      <c r="GZ20" s="102"/>
      <c r="HA20" s="102"/>
      <c r="HB20" s="102"/>
      <c r="HC20" s="102"/>
      <c r="HD20" s="102"/>
      <c r="HE20" s="102"/>
      <c r="HF20" s="102"/>
      <c r="HG20" s="102"/>
      <c r="HH20" s="102"/>
      <c r="HI20" s="102"/>
      <c r="HJ20" s="102"/>
      <c r="HK20" s="102"/>
      <c r="HL20" s="102"/>
      <c r="HM20" s="102"/>
      <c r="HN20" s="102"/>
      <c r="HO20" s="102"/>
      <c r="HP20" s="102"/>
      <c r="HQ20" s="102"/>
      <c r="HR20" s="102"/>
      <c r="HS20" s="102"/>
      <c r="HT20" s="102"/>
      <c r="HU20" s="102"/>
      <c r="HV20" s="102"/>
      <c r="HW20" s="102"/>
      <c r="HX20" s="102"/>
      <c r="HY20" s="102"/>
      <c r="HZ20" s="102"/>
      <c r="IA20" s="102"/>
      <c r="IB20" s="102"/>
      <c r="IC20" s="102"/>
      <c r="ID20" s="102"/>
      <c r="IE20" s="102"/>
      <c r="IF20" s="102"/>
      <c r="IG20" s="102"/>
      <c r="IH20" s="102"/>
      <c r="II20" s="102"/>
      <c r="IJ20" s="102"/>
      <c r="IK20" s="102"/>
      <c r="IL20" s="102"/>
      <c r="IM20" s="102"/>
      <c r="IN20" s="102"/>
      <c r="IO20" s="102"/>
      <c r="IP20" s="102"/>
      <c r="IQ20" s="102"/>
      <c r="IR20" s="102"/>
      <c r="IS20" s="102"/>
      <c r="IT20" s="102"/>
      <c r="IU20" s="102"/>
      <c r="IV20" s="102"/>
      <c r="IW20" s="102"/>
      <c r="IX20" s="102"/>
      <c r="IY20" s="102"/>
      <c r="IZ20" s="102"/>
      <c r="JA20" s="102"/>
      <c r="JB20" s="102"/>
      <c r="JC20" s="102"/>
      <c r="JD20" s="102"/>
      <c r="JE20" s="102"/>
      <c r="JF20" s="102"/>
      <c r="JG20" s="102"/>
      <c r="JH20" s="102"/>
      <c r="JI20" s="102"/>
      <c r="JJ20" s="102"/>
      <c r="JK20" s="102"/>
      <c r="JL20" s="102"/>
      <c r="JM20" s="102"/>
      <c r="JN20" s="102"/>
      <c r="JO20" s="102"/>
      <c r="JP20" s="102"/>
      <c r="JQ20" s="102"/>
      <c r="JR20" s="102"/>
      <c r="JS20" s="102"/>
      <c r="JT20" s="102"/>
      <c r="JU20" s="102"/>
      <c r="JV20" s="102"/>
      <c r="JW20" s="102"/>
      <c r="JX20" s="102"/>
      <c r="JY20" s="102"/>
      <c r="JZ20" s="102"/>
      <c r="KA20" s="102"/>
      <c r="KB20" s="102"/>
      <c r="KC20" s="102"/>
      <c r="KD20" s="102"/>
      <c r="KE20" s="102"/>
      <c r="KF20" s="102"/>
      <c r="KG20" s="102"/>
      <c r="KH20" s="102"/>
      <c r="KI20" s="102"/>
      <c r="KJ20" s="102"/>
      <c r="KK20" s="102"/>
      <c r="KL20" s="102"/>
      <c r="KM20" s="102"/>
      <c r="KN20" s="102"/>
      <c r="KO20" s="102"/>
      <c r="KP20" s="102"/>
      <c r="KQ20" s="102"/>
      <c r="KR20" s="102"/>
      <c r="KS20" s="102"/>
      <c r="KT20" s="102"/>
      <c r="KU20" s="102"/>
      <c r="KV20" s="102"/>
      <c r="KW20" s="102"/>
      <c r="KX20" s="102"/>
      <c r="KY20" s="102"/>
      <c r="KZ20" s="102"/>
      <c r="LA20" s="102"/>
      <c r="LB20" s="102"/>
      <c r="LC20" s="102"/>
      <c r="LD20" s="102"/>
      <c r="LE20" s="102"/>
      <c r="LF20" s="102"/>
      <c r="LG20" s="102"/>
      <c r="LH20" s="102"/>
      <c r="LI20" s="102"/>
      <c r="LJ20" s="102"/>
      <c r="LK20" s="102"/>
      <c r="LL20" s="102"/>
      <c r="LM20" s="102"/>
      <c r="LN20" s="102"/>
      <c r="LO20" s="102"/>
      <c r="LP20" s="102"/>
      <c r="LQ20" s="102"/>
      <c r="LR20" s="102"/>
      <c r="LS20" s="102"/>
      <c r="LT20" s="102"/>
      <c r="LU20" s="102"/>
      <c r="LV20" s="102"/>
      <c r="LW20" s="102"/>
      <c r="LX20" s="102"/>
      <c r="LY20" s="102"/>
    </row>
    <row r="21" ht="15" customHeight="1">
      <c r="A21" s="103"/>
      <c r="B21" s="103"/>
      <c r="C21" s="103"/>
      <c r="D21" s="103"/>
      <c r="E21" s="103"/>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c r="EO21" s="102"/>
      <c r="EP21" s="102"/>
      <c r="EQ21" s="102"/>
      <c r="ER21" s="102"/>
      <c r="ES21" s="102"/>
      <c r="ET21" s="102"/>
      <c r="EU21" s="102"/>
      <c r="EV21" s="102"/>
      <c r="EW21" s="102"/>
      <c r="EX21" s="102"/>
      <c r="EY21" s="102"/>
      <c r="EZ21" s="102"/>
      <c r="FA21" s="102"/>
      <c r="FB21" s="102"/>
      <c r="FC21" s="102"/>
      <c r="FD21" s="102"/>
      <c r="FE21" s="102"/>
      <c r="FF21" s="102"/>
      <c r="FG21" s="102"/>
      <c r="FH21" s="102"/>
      <c r="FI21" s="102"/>
      <c r="FJ21" s="102"/>
      <c r="FK21" s="102"/>
      <c r="FL21" s="102"/>
      <c r="FM21" s="102"/>
      <c r="FN21" s="102"/>
      <c r="FO21" s="102"/>
      <c r="FP21" s="102"/>
      <c r="FQ21" s="102"/>
      <c r="FR21" s="102"/>
      <c r="FS21" s="102"/>
      <c r="FT21" s="102"/>
      <c r="FU21" s="102"/>
      <c r="FV21" s="102"/>
      <c r="FW21" s="102"/>
      <c r="FX21" s="102"/>
      <c r="FY21" s="102"/>
      <c r="FZ21" s="102"/>
      <c r="GA21" s="102"/>
      <c r="GB21" s="102"/>
      <c r="GC21" s="102"/>
      <c r="GD21" s="102"/>
      <c r="GE21" s="102"/>
      <c r="GF21" s="102"/>
      <c r="GG21" s="102"/>
      <c r="GH21" s="102"/>
      <c r="GI21" s="102"/>
      <c r="GJ21" s="102"/>
      <c r="GK21" s="102"/>
      <c r="GL21" s="102"/>
      <c r="GM21" s="102"/>
      <c r="GN21" s="102"/>
      <c r="GO21" s="102"/>
      <c r="GP21" s="102"/>
      <c r="GQ21" s="102"/>
      <c r="GR21" s="102"/>
      <c r="GS21" s="102"/>
      <c r="GT21" s="102"/>
      <c r="GU21" s="102"/>
      <c r="GV21" s="102"/>
      <c r="GW21" s="102"/>
      <c r="GX21" s="102"/>
      <c r="GY21" s="102"/>
      <c r="GZ21" s="102"/>
      <c r="HA21" s="102"/>
      <c r="HB21" s="102"/>
      <c r="HC21" s="102"/>
      <c r="HD21" s="102"/>
      <c r="HE21" s="102"/>
      <c r="HF21" s="102"/>
      <c r="HG21" s="102"/>
      <c r="HH21" s="102"/>
      <c r="HI21" s="102"/>
      <c r="HJ21" s="102"/>
      <c r="HK21" s="102"/>
      <c r="HL21" s="102"/>
      <c r="HM21" s="102"/>
      <c r="HN21" s="102"/>
      <c r="HO21" s="102"/>
      <c r="HP21" s="102"/>
      <c r="HQ21" s="102"/>
      <c r="HR21" s="102"/>
      <c r="HS21" s="102"/>
      <c r="HT21" s="102"/>
      <c r="HU21" s="102"/>
      <c r="HV21" s="102"/>
      <c r="HW21" s="102"/>
      <c r="HX21" s="102"/>
      <c r="HY21" s="102"/>
      <c r="HZ21" s="102"/>
      <c r="IA21" s="102"/>
      <c r="IB21" s="102"/>
      <c r="IC21" s="102"/>
      <c r="ID21" s="102"/>
      <c r="IE21" s="102"/>
      <c r="IF21" s="102"/>
      <c r="IG21" s="102"/>
      <c r="IH21" s="102"/>
      <c r="II21" s="102"/>
      <c r="IJ21" s="102"/>
      <c r="IK21" s="102"/>
      <c r="IL21" s="102"/>
      <c r="IM21" s="102"/>
      <c r="IN21" s="102"/>
      <c r="IO21" s="102"/>
      <c r="IP21" s="102"/>
      <c r="IQ21" s="102"/>
      <c r="IR21" s="102"/>
      <c r="IS21" s="102"/>
      <c r="IT21" s="102"/>
      <c r="IU21" s="102"/>
      <c r="IV21" s="102"/>
      <c r="IW21" s="102"/>
      <c r="IX21" s="102"/>
      <c r="IY21" s="102"/>
      <c r="IZ21" s="102"/>
      <c r="JA21" s="102"/>
      <c r="JB21" s="102"/>
      <c r="JC21" s="102"/>
      <c r="JD21" s="102"/>
      <c r="JE21" s="102"/>
      <c r="JF21" s="102"/>
      <c r="JG21" s="102"/>
      <c r="JH21" s="102"/>
      <c r="JI21" s="102"/>
      <c r="JJ21" s="102"/>
      <c r="JK21" s="102"/>
      <c r="JL21" s="102"/>
      <c r="JM21" s="102"/>
      <c r="JN21" s="102"/>
      <c r="JO21" s="102"/>
      <c r="JP21" s="102"/>
      <c r="JQ21" s="102"/>
      <c r="JR21" s="102"/>
      <c r="JS21" s="102"/>
      <c r="JT21" s="102"/>
      <c r="JU21" s="102"/>
      <c r="JV21" s="102"/>
      <c r="JW21" s="102"/>
      <c r="JX21" s="102"/>
      <c r="JY21" s="102"/>
      <c r="JZ21" s="102"/>
      <c r="KA21" s="102"/>
      <c r="KB21" s="102"/>
      <c r="KC21" s="102"/>
      <c r="KD21" s="102"/>
      <c r="KE21" s="102"/>
      <c r="KF21" s="102"/>
      <c r="KG21" s="102"/>
      <c r="KH21" s="102"/>
      <c r="KI21" s="102"/>
      <c r="KJ21" s="102"/>
      <c r="KK21" s="102"/>
      <c r="KL21" s="102"/>
      <c r="KM21" s="102"/>
      <c r="KN21" s="102"/>
      <c r="KO21" s="102"/>
      <c r="KP21" s="102"/>
      <c r="KQ21" s="102"/>
      <c r="KR21" s="102"/>
      <c r="KS21" s="102"/>
      <c r="KT21" s="102"/>
      <c r="KU21" s="102"/>
      <c r="KV21" s="102"/>
      <c r="KW21" s="102"/>
      <c r="KX21" s="102"/>
      <c r="KY21" s="102"/>
      <c r="KZ21" s="102"/>
      <c r="LA21" s="102"/>
      <c r="LB21" s="102"/>
      <c r="LC21" s="102"/>
      <c r="LD21" s="102"/>
      <c r="LE21" s="102"/>
      <c r="LF21" s="102"/>
      <c r="LG21" s="102"/>
      <c r="LH21" s="102"/>
      <c r="LI21" s="102"/>
      <c r="LJ21" s="102"/>
      <c r="LK21" s="102"/>
      <c r="LL21" s="102"/>
      <c r="LM21" s="102"/>
      <c r="LN21" s="102"/>
      <c r="LO21" s="102"/>
      <c r="LP21" s="102"/>
      <c r="LQ21" s="102"/>
      <c r="LR21" s="102"/>
      <c r="LS21" s="102"/>
      <c r="LT21" s="102"/>
      <c r="LU21" s="102"/>
      <c r="LV21" s="102"/>
      <c r="LW21" s="102"/>
      <c r="LX21" s="102"/>
      <c r="LY21" s="102"/>
    </row>
    <row r="22" s="128" customFormat="1" ht="19.5" customHeight="1">
      <c r="A22" s="118" t="s">
        <v>317</v>
      </c>
      <c r="B22" s="118"/>
      <c r="C22" s="118"/>
      <c r="D22" s="118"/>
      <c r="E22" s="118"/>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c r="EB22" s="102"/>
      <c r="EC22" s="102"/>
      <c r="ED22" s="102"/>
      <c r="EE22" s="102"/>
      <c r="EF22" s="102"/>
      <c r="EG22" s="102"/>
      <c r="EH22" s="102"/>
      <c r="EI22" s="102"/>
      <c r="EJ22" s="102"/>
      <c r="EK22" s="102"/>
      <c r="EL22" s="102"/>
      <c r="EM22" s="102"/>
      <c r="EN22" s="102"/>
      <c r="EO22" s="102"/>
      <c r="EP22" s="102"/>
      <c r="EQ22" s="102"/>
      <c r="ER22" s="102"/>
      <c r="ES22" s="102"/>
      <c r="ET22" s="102"/>
      <c r="EU22" s="102"/>
      <c r="EV22" s="102"/>
      <c r="EW22" s="102"/>
      <c r="EX22" s="102"/>
      <c r="EY22" s="102"/>
      <c r="EZ22" s="102"/>
      <c r="FA22" s="102"/>
      <c r="FB22" s="102"/>
      <c r="FC22" s="102"/>
      <c r="FD22" s="102"/>
      <c r="FE22" s="102"/>
      <c r="FF22" s="102"/>
      <c r="FG22" s="102"/>
      <c r="FH22" s="102"/>
      <c r="FI22" s="102"/>
      <c r="FJ22" s="102"/>
      <c r="FK22" s="102"/>
      <c r="FL22" s="102"/>
      <c r="FM22" s="102"/>
      <c r="FN22" s="102"/>
      <c r="FO22" s="102"/>
      <c r="FP22" s="102"/>
      <c r="FQ22" s="102"/>
      <c r="FR22" s="102"/>
      <c r="FS22" s="102"/>
      <c r="FT22" s="102"/>
      <c r="FU22" s="102"/>
      <c r="FV22" s="102"/>
      <c r="FW22" s="102"/>
      <c r="FX22" s="102"/>
      <c r="FY22" s="102"/>
      <c r="FZ22" s="102"/>
      <c r="GA22" s="102"/>
      <c r="GB22" s="102"/>
      <c r="GC22" s="102"/>
      <c r="GD22" s="102"/>
      <c r="GE22" s="102"/>
      <c r="GF22" s="102"/>
      <c r="GG22" s="102"/>
      <c r="GH22" s="102"/>
      <c r="GI22" s="102"/>
      <c r="GJ22" s="102"/>
      <c r="GK22" s="102"/>
      <c r="GL22" s="102"/>
      <c r="GM22" s="102"/>
      <c r="GN22" s="102"/>
      <c r="GO22" s="102"/>
      <c r="GP22" s="102"/>
      <c r="GQ22" s="102"/>
      <c r="GR22" s="102"/>
      <c r="GS22" s="102"/>
      <c r="GT22" s="102"/>
      <c r="GU22" s="102"/>
      <c r="GV22" s="102"/>
      <c r="GW22" s="102"/>
      <c r="GX22" s="102"/>
      <c r="GY22" s="102"/>
      <c r="GZ22" s="102"/>
      <c r="HA22" s="102"/>
      <c r="HB22" s="102"/>
      <c r="HC22" s="102"/>
      <c r="HD22" s="102"/>
      <c r="HE22" s="102"/>
      <c r="HF22" s="102"/>
      <c r="HG22" s="102"/>
      <c r="HH22" s="102"/>
      <c r="HI22" s="102"/>
      <c r="HJ22" s="102"/>
      <c r="HK22" s="102"/>
      <c r="HL22" s="102"/>
      <c r="HM22" s="102"/>
      <c r="HN22" s="102"/>
      <c r="HO22" s="102"/>
      <c r="HP22" s="102"/>
      <c r="HQ22" s="102"/>
      <c r="HR22" s="102"/>
      <c r="HS22" s="102"/>
      <c r="HT22" s="102"/>
      <c r="HU22" s="102"/>
      <c r="HV22" s="102"/>
      <c r="HW22" s="102"/>
      <c r="HX22" s="102"/>
      <c r="HY22" s="102"/>
      <c r="HZ22" s="102"/>
      <c r="IA22" s="102"/>
      <c r="IB22" s="102"/>
      <c r="IC22" s="102"/>
      <c r="ID22" s="102"/>
      <c r="IE22" s="102"/>
      <c r="IF22" s="102"/>
      <c r="IG22" s="102"/>
      <c r="IH22" s="102"/>
      <c r="II22" s="102"/>
      <c r="IJ22" s="102"/>
      <c r="IK22" s="102"/>
      <c r="IL22" s="102"/>
      <c r="IM22" s="102"/>
      <c r="IN22" s="102"/>
      <c r="IO22" s="102"/>
      <c r="IP22" s="102"/>
      <c r="IQ22" s="102"/>
      <c r="IR22" s="102"/>
      <c r="IS22" s="102"/>
      <c r="IT22" s="102"/>
      <c r="IU22" s="102"/>
      <c r="IV22" s="102"/>
      <c r="IW22" s="102"/>
      <c r="IX22" s="102"/>
      <c r="IY22" s="102"/>
      <c r="IZ22" s="102"/>
      <c r="JA22" s="102"/>
      <c r="JB22" s="102"/>
      <c r="JC22" s="102"/>
      <c r="JD22" s="102"/>
      <c r="JE22" s="102"/>
      <c r="JF22" s="102"/>
      <c r="JG22" s="102"/>
      <c r="JH22" s="102"/>
      <c r="JI22" s="102"/>
      <c r="JJ22" s="102"/>
      <c r="JK22" s="102"/>
      <c r="JL22" s="102"/>
      <c r="JM22" s="102"/>
      <c r="JN22" s="102"/>
      <c r="JO22" s="102"/>
      <c r="JP22" s="102"/>
      <c r="JQ22" s="102"/>
      <c r="JR22" s="102"/>
      <c r="JS22" s="102"/>
      <c r="JT22" s="102"/>
      <c r="JU22" s="102"/>
      <c r="JV22" s="102"/>
      <c r="JW22" s="102"/>
      <c r="JX22" s="102"/>
      <c r="JY22" s="102"/>
      <c r="JZ22" s="102"/>
      <c r="KA22" s="102"/>
      <c r="KB22" s="102"/>
      <c r="KC22" s="102"/>
      <c r="KD22" s="102"/>
      <c r="KE22" s="102"/>
      <c r="KF22" s="102"/>
      <c r="KG22" s="102"/>
      <c r="KH22" s="102"/>
      <c r="KI22" s="102"/>
      <c r="KJ22" s="102"/>
      <c r="KK22" s="102"/>
      <c r="KL22" s="102"/>
      <c r="KM22" s="102"/>
      <c r="KN22" s="102"/>
      <c r="KO22" s="102"/>
      <c r="KP22" s="102"/>
      <c r="KQ22" s="102"/>
      <c r="KR22" s="102"/>
      <c r="KS22" s="102"/>
      <c r="KT22" s="102"/>
      <c r="KU22" s="102"/>
      <c r="KV22" s="102"/>
      <c r="KW22" s="102"/>
      <c r="KX22" s="102"/>
      <c r="KY22" s="102"/>
      <c r="KZ22" s="102"/>
      <c r="LA22" s="102"/>
      <c r="LB22" s="102"/>
      <c r="LC22" s="102"/>
      <c r="LD22" s="102"/>
      <c r="LE22" s="102"/>
      <c r="LF22" s="102"/>
      <c r="LG22" s="102"/>
      <c r="LH22" s="102"/>
      <c r="LI22" s="102"/>
      <c r="LJ22" s="102"/>
      <c r="LK22" s="102"/>
      <c r="LL22" s="102"/>
      <c r="LM22" s="102"/>
      <c r="LN22" s="102"/>
      <c r="LO22" s="102"/>
      <c r="LP22" s="102"/>
      <c r="LQ22" s="102"/>
      <c r="LR22" s="102"/>
      <c r="LS22" s="102"/>
      <c r="LT22" s="102"/>
      <c r="LU22" s="102"/>
      <c r="LV22" s="102"/>
      <c r="LW22" s="102"/>
      <c r="LX22" s="102"/>
      <c r="LY22" s="102"/>
    </row>
    <row r="23" s="119" customFormat="1" ht="39.200000000000003" customHeight="1">
      <c r="A23" s="120"/>
      <c r="B23" s="120" t="s">
        <v>311</v>
      </c>
      <c r="C23" s="120" t="s">
        <v>312</v>
      </c>
      <c r="D23" s="120" t="s">
        <v>313</v>
      </c>
      <c r="E23" s="120" t="s">
        <v>314</v>
      </c>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121"/>
      <c r="CN23" s="121"/>
      <c r="CO23" s="121"/>
      <c r="CP23" s="121"/>
      <c r="CQ23" s="121"/>
      <c r="CR23" s="121"/>
      <c r="CS23" s="121"/>
      <c r="CT23" s="121"/>
      <c r="CU23" s="121"/>
      <c r="CV23" s="121"/>
      <c r="CW23" s="121"/>
      <c r="CX23" s="121"/>
      <c r="CY23" s="121"/>
      <c r="CZ23" s="121"/>
      <c r="DA23" s="121"/>
      <c r="DB23" s="121"/>
      <c r="DC23" s="121"/>
      <c r="DD23" s="121"/>
      <c r="DE23" s="121"/>
      <c r="DF23" s="121"/>
      <c r="DG23" s="121"/>
      <c r="DH23" s="121"/>
      <c r="DI23" s="121"/>
      <c r="DJ23" s="121"/>
      <c r="DK23" s="121"/>
      <c r="DL23" s="121"/>
      <c r="DM23" s="121"/>
      <c r="DN23" s="121"/>
      <c r="DO23" s="121"/>
      <c r="DP23" s="121"/>
      <c r="DQ23" s="121"/>
      <c r="DR23" s="121"/>
      <c r="DS23" s="121"/>
      <c r="DT23" s="121"/>
      <c r="DU23" s="121"/>
      <c r="DV23" s="121"/>
      <c r="DW23" s="121"/>
      <c r="DX23" s="121"/>
      <c r="DY23" s="121"/>
      <c r="DZ23" s="121"/>
      <c r="EA23" s="121"/>
      <c r="EB23" s="121"/>
      <c r="EC23" s="121"/>
      <c r="ED23" s="121"/>
      <c r="EE23" s="121"/>
      <c r="EF23" s="121"/>
      <c r="EG23" s="121"/>
      <c r="EH23" s="121"/>
      <c r="EI23" s="121"/>
      <c r="EJ23" s="121"/>
      <c r="EK23" s="121"/>
      <c r="EL23" s="121"/>
      <c r="EM23" s="121"/>
      <c r="EN23" s="121"/>
      <c r="EO23" s="121"/>
      <c r="EP23" s="121"/>
      <c r="EQ23" s="121"/>
      <c r="ER23" s="121"/>
      <c r="ES23" s="121"/>
      <c r="ET23" s="121"/>
      <c r="EU23" s="121"/>
      <c r="EV23" s="121"/>
      <c r="EW23" s="121"/>
      <c r="EX23" s="121"/>
      <c r="EY23" s="121"/>
      <c r="EZ23" s="121"/>
      <c r="FA23" s="121"/>
      <c r="FB23" s="121"/>
      <c r="FC23" s="121"/>
      <c r="FD23" s="121"/>
      <c r="FE23" s="121"/>
      <c r="FF23" s="121"/>
      <c r="FG23" s="121"/>
      <c r="FH23" s="121"/>
      <c r="FI23" s="121"/>
      <c r="FJ23" s="121"/>
      <c r="FK23" s="121"/>
      <c r="FL23" s="121"/>
      <c r="FM23" s="121"/>
      <c r="FN23" s="121"/>
      <c r="FO23" s="121"/>
      <c r="FP23" s="121"/>
      <c r="FQ23" s="121"/>
      <c r="FR23" s="121"/>
      <c r="FS23" s="121"/>
      <c r="FT23" s="121"/>
      <c r="FU23" s="121"/>
      <c r="FV23" s="121"/>
      <c r="FW23" s="121"/>
      <c r="FX23" s="121"/>
      <c r="FY23" s="121"/>
      <c r="FZ23" s="121"/>
      <c r="GA23" s="121"/>
      <c r="GB23" s="121"/>
      <c r="GC23" s="121"/>
      <c r="GD23" s="121"/>
      <c r="GE23" s="121"/>
      <c r="GF23" s="121"/>
      <c r="GG23" s="121"/>
      <c r="GH23" s="121"/>
      <c r="GI23" s="121"/>
      <c r="GJ23" s="121"/>
      <c r="GK23" s="121"/>
      <c r="GL23" s="121"/>
      <c r="GM23" s="121"/>
      <c r="GN23" s="121"/>
      <c r="GO23" s="121"/>
      <c r="GP23" s="121"/>
      <c r="GQ23" s="121"/>
      <c r="GR23" s="121"/>
      <c r="GS23" s="121"/>
      <c r="GT23" s="121"/>
      <c r="GU23" s="121"/>
      <c r="GV23" s="121"/>
      <c r="GW23" s="121"/>
      <c r="GX23" s="121"/>
      <c r="GY23" s="121"/>
      <c r="GZ23" s="121"/>
      <c r="HA23" s="121"/>
      <c r="HB23" s="121"/>
      <c r="HC23" s="121"/>
      <c r="HD23" s="121"/>
      <c r="HE23" s="121"/>
      <c r="HF23" s="121"/>
      <c r="HG23" s="121"/>
      <c r="HH23" s="121"/>
      <c r="HI23" s="121"/>
      <c r="HJ23" s="121"/>
      <c r="HK23" s="121"/>
      <c r="HL23" s="121"/>
      <c r="HM23" s="121"/>
      <c r="HN23" s="121"/>
      <c r="HO23" s="121"/>
      <c r="HP23" s="121"/>
      <c r="HQ23" s="121"/>
      <c r="HR23" s="121"/>
      <c r="HS23" s="121"/>
      <c r="HT23" s="121"/>
      <c r="HU23" s="121"/>
      <c r="HV23" s="121"/>
      <c r="HW23" s="121"/>
      <c r="HX23" s="121"/>
      <c r="HY23" s="121"/>
      <c r="HZ23" s="121"/>
      <c r="IA23" s="121"/>
      <c r="IB23" s="121"/>
      <c r="IC23" s="121"/>
      <c r="ID23" s="121"/>
      <c r="IE23" s="121"/>
      <c r="IF23" s="121"/>
      <c r="IG23" s="121"/>
      <c r="IH23" s="121"/>
      <c r="II23" s="121"/>
      <c r="IJ23" s="121"/>
      <c r="IK23" s="121"/>
      <c r="IL23" s="121"/>
      <c r="IM23" s="121"/>
      <c r="IN23" s="121"/>
      <c r="IO23" s="121"/>
      <c r="IP23" s="121"/>
      <c r="IQ23" s="121"/>
      <c r="IR23" s="121"/>
      <c r="IS23" s="121"/>
      <c r="IT23" s="121"/>
      <c r="IU23" s="121"/>
      <c r="IV23" s="121"/>
      <c r="IW23" s="121"/>
      <c r="IX23" s="121"/>
      <c r="IY23" s="121"/>
      <c r="IZ23" s="121"/>
      <c r="JA23" s="121"/>
      <c r="JB23" s="121"/>
      <c r="JC23" s="121"/>
      <c r="JD23" s="121"/>
      <c r="JE23" s="121"/>
      <c r="JF23" s="121"/>
      <c r="JG23" s="121"/>
      <c r="JH23" s="121"/>
      <c r="JI23" s="121"/>
      <c r="JJ23" s="121"/>
      <c r="JK23" s="121"/>
      <c r="JL23" s="121"/>
      <c r="JM23" s="121"/>
      <c r="JN23" s="121"/>
      <c r="JO23" s="121"/>
      <c r="JP23" s="121"/>
      <c r="JQ23" s="121"/>
      <c r="JR23" s="121"/>
      <c r="JS23" s="121"/>
      <c r="JT23" s="121"/>
      <c r="JU23" s="121"/>
      <c r="JV23" s="121"/>
      <c r="JW23" s="121"/>
      <c r="JX23" s="121"/>
      <c r="JY23" s="121"/>
      <c r="JZ23" s="121"/>
      <c r="KA23" s="121"/>
      <c r="KB23" s="121"/>
      <c r="KC23" s="121"/>
      <c r="KD23" s="121"/>
      <c r="KE23" s="121"/>
      <c r="KF23" s="121"/>
      <c r="KG23" s="121"/>
      <c r="KH23" s="121"/>
      <c r="KI23" s="121"/>
      <c r="KJ23" s="121"/>
      <c r="KK23" s="121"/>
      <c r="KL23" s="121"/>
      <c r="KM23" s="121"/>
      <c r="KN23" s="121"/>
      <c r="KO23" s="121"/>
      <c r="KP23" s="121"/>
      <c r="KQ23" s="121"/>
      <c r="KR23" s="121"/>
      <c r="KS23" s="121"/>
      <c r="KT23" s="121"/>
      <c r="KU23" s="121"/>
      <c r="KV23" s="121"/>
      <c r="KW23" s="121"/>
      <c r="KX23" s="121"/>
      <c r="KY23" s="121"/>
      <c r="KZ23" s="121"/>
      <c r="LA23" s="121"/>
      <c r="LB23" s="121"/>
      <c r="LC23" s="121"/>
      <c r="LD23" s="121"/>
      <c r="LE23" s="121"/>
      <c r="LF23" s="121"/>
      <c r="LG23" s="121"/>
      <c r="LH23" s="121"/>
      <c r="LI23" s="121"/>
      <c r="LJ23" s="121"/>
      <c r="LK23" s="121"/>
      <c r="LL23" s="121"/>
      <c r="LM23" s="121"/>
      <c r="LN23" s="121"/>
      <c r="LO23" s="121"/>
      <c r="LP23" s="121"/>
      <c r="LQ23" s="121"/>
      <c r="LR23" s="121"/>
      <c r="LS23" s="121"/>
      <c r="LT23" s="121"/>
      <c r="LU23" s="121"/>
      <c r="LV23" s="121"/>
      <c r="LW23" s="121"/>
      <c r="LX23" s="121"/>
      <c r="LY23" s="121"/>
    </row>
    <row r="24" ht="18" customHeight="1">
      <c r="A24" s="132" t="s">
        <v>318</v>
      </c>
      <c r="B24" s="125">
        <f>COUNTIF('2. Yes-No Checklist'!E6:E53,"Y")</f>
        <v>0</v>
      </c>
      <c r="C24" s="125">
        <f>48-COUNTIF('2. Yes-No Checklist'!E6:E53,"NA")</f>
        <v>48</v>
      </c>
      <c r="D24" s="126">
        <f t="shared" si="2"/>
        <v>0</v>
      </c>
      <c r="E24" s="127" t="str">
        <f t="shared" si="3"/>
        <v xml:space="preserve">Not Integrated &lt;50%</v>
      </c>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c r="EB24" s="102"/>
      <c r="EC24" s="102"/>
      <c r="ED24" s="102"/>
      <c r="EE24" s="102"/>
      <c r="EF24" s="102"/>
      <c r="EG24" s="102"/>
      <c r="EH24" s="102"/>
      <c r="EI24" s="102"/>
      <c r="EJ24" s="102"/>
      <c r="EK24" s="102"/>
      <c r="EL24" s="102"/>
      <c r="EM24" s="102"/>
      <c r="EN24" s="102"/>
      <c r="EO24" s="102"/>
      <c r="EP24" s="102"/>
      <c r="EQ24" s="102"/>
      <c r="ER24" s="102"/>
      <c r="ES24" s="102"/>
      <c r="ET24" s="102"/>
      <c r="EU24" s="102"/>
      <c r="EV24" s="102"/>
      <c r="EW24" s="102"/>
      <c r="EX24" s="102"/>
      <c r="EY24" s="102"/>
      <c r="EZ24" s="102"/>
      <c r="FA24" s="102"/>
      <c r="FB24" s="102"/>
      <c r="FC24" s="102"/>
      <c r="FD24" s="102"/>
      <c r="FE24" s="102"/>
      <c r="FF24" s="102"/>
      <c r="FG24" s="102"/>
      <c r="FH24" s="102"/>
      <c r="FI24" s="102"/>
      <c r="FJ24" s="102"/>
      <c r="FK24" s="102"/>
      <c r="FL24" s="102"/>
      <c r="FM24" s="102"/>
      <c r="FN24" s="102"/>
      <c r="FO24" s="102"/>
      <c r="FP24" s="102"/>
      <c r="FQ24" s="102"/>
      <c r="FR24" s="102"/>
      <c r="FS24" s="102"/>
      <c r="FT24" s="102"/>
      <c r="FU24" s="102"/>
      <c r="FV24" s="102"/>
      <c r="FW24" s="102"/>
      <c r="FX24" s="102"/>
      <c r="FY24" s="102"/>
      <c r="FZ24" s="102"/>
      <c r="GA24" s="102"/>
      <c r="GB24" s="102"/>
      <c r="GC24" s="102"/>
      <c r="GD24" s="102"/>
      <c r="GE24" s="102"/>
      <c r="GF24" s="102"/>
      <c r="GG24" s="102"/>
      <c r="GH24" s="102"/>
      <c r="GI24" s="102"/>
      <c r="GJ24" s="102"/>
      <c r="GK24" s="102"/>
      <c r="GL24" s="102"/>
      <c r="GM24" s="102"/>
      <c r="GN24" s="102"/>
      <c r="GO24" s="102"/>
      <c r="GP24" s="102"/>
      <c r="GQ24" s="102"/>
      <c r="GR24" s="102"/>
      <c r="GS24" s="102"/>
      <c r="GT24" s="102"/>
      <c r="GU24" s="102"/>
      <c r="GV24" s="102"/>
      <c r="GW24" s="102"/>
      <c r="GX24" s="102"/>
      <c r="GY24" s="102"/>
      <c r="GZ24" s="102"/>
      <c r="HA24" s="102"/>
      <c r="HB24" s="102"/>
      <c r="HC24" s="102"/>
      <c r="HD24" s="102"/>
      <c r="HE24" s="102"/>
      <c r="HF24" s="102"/>
      <c r="HG24" s="102"/>
      <c r="HH24" s="102"/>
      <c r="HI24" s="102"/>
      <c r="HJ24" s="102"/>
      <c r="HK24" s="102"/>
      <c r="HL24" s="102"/>
      <c r="HM24" s="102"/>
      <c r="HN24" s="102"/>
      <c r="HO24" s="102"/>
      <c r="HP24" s="102"/>
      <c r="HQ24" s="102"/>
      <c r="HR24" s="102"/>
      <c r="HS24" s="102"/>
      <c r="HT24" s="102"/>
      <c r="HU24" s="102"/>
      <c r="HV24" s="102"/>
      <c r="HW24" s="102"/>
      <c r="HX24" s="102"/>
      <c r="HY24" s="102"/>
      <c r="HZ24" s="102"/>
      <c r="IA24" s="102"/>
      <c r="IB24" s="102"/>
      <c r="IC24" s="102"/>
      <c r="ID24" s="102"/>
      <c r="IE24" s="102"/>
      <c r="IF24" s="102"/>
      <c r="IG24" s="102"/>
      <c r="IH24" s="102"/>
      <c r="II24" s="102"/>
      <c r="IJ24" s="102"/>
      <c r="IK24" s="102"/>
      <c r="IL24" s="102"/>
      <c r="IM24" s="102"/>
      <c r="IN24" s="102"/>
      <c r="IO24" s="102"/>
      <c r="IP24" s="102"/>
      <c r="IQ24" s="102"/>
      <c r="IR24" s="102"/>
      <c r="IS24" s="102"/>
      <c r="IT24" s="102"/>
      <c r="IU24" s="102"/>
      <c r="IV24" s="102"/>
      <c r="IW24" s="102"/>
      <c r="IX24" s="102"/>
      <c r="IY24" s="102"/>
      <c r="IZ24" s="102"/>
      <c r="JA24" s="102"/>
      <c r="JB24" s="102"/>
      <c r="JC24" s="102"/>
      <c r="JD24" s="102"/>
      <c r="JE24" s="102"/>
      <c r="JF24" s="102"/>
      <c r="JG24" s="102"/>
      <c r="JH24" s="102"/>
      <c r="JI24" s="102"/>
      <c r="JJ24" s="102"/>
      <c r="JK24" s="102"/>
      <c r="JL24" s="102"/>
      <c r="JM24" s="102"/>
      <c r="JN24" s="102"/>
      <c r="JO24" s="102"/>
      <c r="JP24" s="102"/>
      <c r="JQ24" s="102"/>
      <c r="JR24" s="102"/>
      <c r="JS24" s="102"/>
      <c r="JT24" s="102"/>
      <c r="JU24" s="102"/>
      <c r="JV24" s="102"/>
      <c r="JW24" s="102"/>
      <c r="JX24" s="102"/>
      <c r="JY24" s="102"/>
      <c r="JZ24" s="102"/>
      <c r="KA24" s="102"/>
      <c r="KB24" s="102"/>
      <c r="KC24" s="102"/>
      <c r="KD24" s="102"/>
      <c r="KE24" s="102"/>
      <c r="KF24" s="102"/>
      <c r="KG24" s="102"/>
      <c r="KH24" s="102"/>
      <c r="KI24" s="102"/>
      <c r="KJ24" s="102"/>
      <c r="KK24" s="102"/>
      <c r="KL24" s="102"/>
      <c r="KM24" s="102"/>
      <c r="KN24" s="102"/>
      <c r="KO24" s="102"/>
      <c r="KP24" s="102"/>
      <c r="KQ24" s="102"/>
      <c r="KR24" s="102"/>
      <c r="KS24" s="102"/>
      <c r="KT24" s="102"/>
      <c r="KU24" s="102"/>
      <c r="KV24" s="102"/>
      <c r="KW24" s="102"/>
      <c r="KX24" s="102"/>
      <c r="KY24" s="102"/>
      <c r="KZ24" s="102"/>
      <c r="LA24" s="102"/>
      <c r="LB24" s="102"/>
      <c r="LC24" s="102"/>
      <c r="LD24" s="102"/>
      <c r="LE24" s="102"/>
      <c r="LF24" s="102"/>
      <c r="LG24" s="102"/>
      <c r="LH24" s="102"/>
      <c r="LI24" s="102"/>
      <c r="LJ24" s="102"/>
      <c r="LK24" s="102"/>
      <c r="LL24" s="102"/>
      <c r="LM24" s="102"/>
      <c r="LN24" s="102"/>
      <c r="LO24" s="102"/>
      <c r="LP24" s="102"/>
      <c r="LQ24" s="102"/>
      <c r="LR24" s="102"/>
      <c r="LS24" s="102"/>
      <c r="LT24" s="102"/>
      <c r="LU24" s="102"/>
      <c r="LV24" s="102"/>
      <c r="LW24" s="102"/>
      <c r="LX24" s="102"/>
      <c r="LY24" s="102"/>
    </row>
    <row r="25" ht="15" customHeight="1">
      <c r="A25" s="103"/>
      <c r="B25" s="103"/>
      <c r="C25" s="103"/>
      <c r="D25" s="103"/>
      <c r="E25" s="103"/>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102"/>
      <c r="EJ25" s="102"/>
      <c r="EK25" s="102"/>
      <c r="EL25" s="102"/>
      <c r="EM25" s="102"/>
      <c r="EN25" s="102"/>
      <c r="EO25" s="102"/>
      <c r="EP25" s="102"/>
      <c r="EQ25" s="102"/>
      <c r="ER25" s="102"/>
      <c r="ES25" s="102"/>
      <c r="ET25" s="102"/>
      <c r="EU25" s="102"/>
      <c r="EV25" s="102"/>
      <c r="EW25" s="102"/>
      <c r="EX25" s="102"/>
      <c r="EY25" s="102"/>
      <c r="EZ25" s="102"/>
      <c r="FA25" s="102"/>
      <c r="FB25" s="102"/>
      <c r="FC25" s="102"/>
      <c r="FD25" s="102"/>
      <c r="FE25" s="102"/>
      <c r="FF25" s="102"/>
      <c r="FG25" s="102"/>
      <c r="FH25" s="102"/>
      <c r="FI25" s="102"/>
      <c r="FJ25" s="102"/>
      <c r="FK25" s="102"/>
      <c r="FL25" s="102"/>
      <c r="FM25" s="102"/>
      <c r="FN25" s="102"/>
      <c r="FO25" s="102"/>
      <c r="FP25" s="102"/>
      <c r="FQ25" s="102"/>
      <c r="FR25" s="102"/>
      <c r="FS25" s="102"/>
      <c r="FT25" s="102"/>
      <c r="FU25" s="102"/>
      <c r="FV25" s="102"/>
      <c r="FW25" s="102"/>
      <c r="FX25" s="102"/>
      <c r="FY25" s="102"/>
      <c r="FZ25" s="102"/>
      <c r="GA25" s="102"/>
      <c r="GB25" s="102"/>
      <c r="GC25" s="102"/>
      <c r="GD25" s="102"/>
      <c r="GE25" s="102"/>
      <c r="GF25" s="102"/>
      <c r="GG25" s="102"/>
      <c r="GH25" s="102"/>
      <c r="GI25" s="102"/>
      <c r="GJ25" s="102"/>
      <c r="GK25" s="102"/>
      <c r="GL25" s="102"/>
      <c r="GM25" s="102"/>
      <c r="GN25" s="102"/>
      <c r="GO25" s="102"/>
      <c r="GP25" s="102"/>
      <c r="GQ25" s="102"/>
      <c r="GR25" s="102"/>
      <c r="GS25" s="102"/>
      <c r="GT25" s="102"/>
      <c r="GU25" s="102"/>
      <c r="GV25" s="102"/>
      <c r="GW25" s="102"/>
      <c r="GX25" s="102"/>
      <c r="GY25" s="102"/>
      <c r="GZ25" s="102"/>
      <c r="HA25" s="102"/>
      <c r="HB25" s="102"/>
      <c r="HC25" s="102"/>
      <c r="HD25" s="102"/>
      <c r="HE25" s="102"/>
      <c r="HF25" s="102"/>
      <c r="HG25" s="102"/>
      <c r="HH25" s="102"/>
      <c r="HI25" s="102"/>
      <c r="HJ25" s="102"/>
      <c r="HK25" s="102"/>
      <c r="HL25" s="102"/>
      <c r="HM25" s="102"/>
      <c r="HN25" s="102"/>
      <c r="HO25" s="102"/>
      <c r="HP25" s="102"/>
      <c r="HQ25" s="102"/>
      <c r="HR25" s="102"/>
      <c r="HS25" s="102"/>
      <c r="HT25" s="102"/>
      <c r="HU25" s="102"/>
      <c r="HV25" s="102"/>
      <c r="HW25" s="102"/>
      <c r="HX25" s="102"/>
      <c r="HY25" s="102"/>
      <c r="HZ25" s="102"/>
      <c r="IA25" s="102"/>
      <c r="IB25" s="102"/>
      <c r="IC25" s="102"/>
      <c r="ID25" s="102"/>
      <c r="IE25" s="102"/>
      <c r="IF25" s="102"/>
      <c r="IG25" s="102"/>
      <c r="IH25" s="102"/>
      <c r="II25" s="102"/>
      <c r="IJ25" s="102"/>
      <c r="IK25" s="102"/>
      <c r="IL25" s="102"/>
      <c r="IM25" s="102"/>
      <c r="IN25" s="102"/>
      <c r="IO25" s="102"/>
      <c r="IP25" s="102"/>
      <c r="IQ25" s="102"/>
      <c r="IR25" s="102"/>
      <c r="IS25" s="102"/>
      <c r="IT25" s="102"/>
      <c r="IU25" s="102"/>
      <c r="IV25" s="102"/>
      <c r="IW25" s="102"/>
      <c r="IX25" s="102"/>
      <c r="IY25" s="102"/>
      <c r="IZ25" s="102"/>
      <c r="JA25" s="102"/>
      <c r="JB25" s="102"/>
      <c r="JC25" s="102"/>
      <c r="JD25" s="102"/>
      <c r="JE25" s="102"/>
      <c r="JF25" s="102"/>
      <c r="JG25" s="102"/>
      <c r="JH25" s="102"/>
      <c r="JI25" s="102"/>
      <c r="JJ25" s="102"/>
      <c r="JK25" s="102"/>
      <c r="JL25" s="102"/>
      <c r="JM25" s="102"/>
      <c r="JN25" s="102"/>
      <c r="JO25" s="102"/>
      <c r="JP25" s="102"/>
      <c r="JQ25" s="102"/>
      <c r="JR25" s="102"/>
      <c r="JS25" s="102"/>
      <c r="JT25" s="102"/>
      <c r="JU25" s="102"/>
      <c r="JV25" s="102"/>
      <c r="JW25" s="102"/>
      <c r="JX25" s="102"/>
      <c r="JY25" s="102"/>
      <c r="JZ25" s="102"/>
      <c r="KA25" s="102"/>
      <c r="KB25" s="102"/>
      <c r="KC25" s="102"/>
      <c r="KD25" s="102"/>
      <c r="KE25" s="102"/>
      <c r="KF25" s="102"/>
      <c r="KG25" s="102"/>
      <c r="KH25" s="102"/>
      <c r="KI25" s="102"/>
      <c r="KJ25" s="102"/>
      <c r="KK25" s="102"/>
      <c r="KL25" s="102"/>
      <c r="KM25" s="102"/>
      <c r="KN25" s="102"/>
      <c r="KO25" s="102"/>
      <c r="KP25" s="102"/>
      <c r="KQ25" s="102"/>
      <c r="KR25" s="102"/>
      <c r="KS25" s="102"/>
      <c r="KT25" s="102"/>
      <c r="KU25" s="102"/>
      <c r="KV25" s="102"/>
      <c r="KW25" s="102"/>
      <c r="KX25" s="102"/>
      <c r="KY25" s="102"/>
      <c r="KZ25" s="102"/>
      <c r="LA25" s="102"/>
      <c r="LB25" s="102"/>
      <c r="LC25" s="102"/>
      <c r="LD25" s="102"/>
      <c r="LE25" s="102"/>
      <c r="LF25" s="102"/>
      <c r="LG25" s="102"/>
      <c r="LH25" s="102"/>
      <c r="LI25" s="102"/>
      <c r="LJ25" s="102"/>
      <c r="LK25" s="102"/>
      <c r="LL25" s="102"/>
      <c r="LM25" s="102"/>
      <c r="LN25" s="102"/>
      <c r="LO25" s="102"/>
      <c r="LP25" s="102"/>
      <c r="LQ25" s="102"/>
      <c r="LR25" s="102"/>
      <c r="LS25" s="102"/>
      <c r="LT25" s="102"/>
      <c r="LU25" s="102"/>
      <c r="LV25" s="102"/>
      <c r="LW25" s="102"/>
      <c r="LX25" s="102"/>
      <c r="LY25" s="102"/>
    </row>
    <row r="26" ht="15" customHeight="1">
      <c r="A26" s="103"/>
      <c r="B26" s="103"/>
      <c r="C26" s="103"/>
      <c r="D26" s="103"/>
      <c r="E26" s="103"/>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c r="EO26" s="102"/>
      <c r="EP26" s="102"/>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2"/>
      <c r="FN26" s="102"/>
      <c r="FO26" s="102"/>
      <c r="FP26" s="102"/>
      <c r="FQ26" s="102"/>
      <c r="FR26" s="102"/>
      <c r="FS26" s="102"/>
      <c r="FT26" s="102"/>
      <c r="FU26" s="102"/>
      <c r="FV26" s="102"/>
      <c r="FW26" s="102"/>
      <c r="FX26" s="102"/>
      <c r="FY26" s="102"/>
      <c r="FZ26" s="102"/>
      <c r="GA26" s="102"/>
      <c r="GB26" s="102"/>
      <c r="GC26" s="102"/>
      <c r="GD26" s="102"/>
      <c r="GE26" s="102"/>
      <c r="GF26" s="102"/>
      <c r="GG26" s="102"/>
      <c r="GH26" s="102"/>
      <c r="GI26" s="102"/>
      <c r="GJ26" s="102"/>
      <c r="GK26" s="102"/>
      <c r="GL26" s="102"/>
      <c r="GM26" s="102"/>
      <c r="GN26" s="102"/>
      <c r="GO26" s="102"/>
      <c r="GP26" s="102"/>
      <c r="GQ26" s="102"/>
      <c r="GR26" s="102"/>
      <c r="GS26" s="102"/>
      <c r="GT26" s="102"/>
      <c r="GU26" s="102"/>
      <c r="GV26" s="102"/>
      <c r="GW26" s="102"/>
      <c r="GX26" s="102"/>
      <c r="GY26" s="102"/>
      <c r="GZ26" s="102"/>
      <c r="HA26" s="102"/>
      <c r="HB26" s="102"/>
      <c r="HC26" s="102"/>
      <c r="HD26" s="102"/>
      <c r="HE26" s="102"/>
      <c r="HF26" s="102"/>
      <c r="HG26" s="102"/>
      <c r="HH26" s="102"/>
      <c r="HI26" s="102"/>
      <c r="HJ26" s="102"/>
      <c r="HK26" s="102"/>
      <c r="HL26" s="102"/>
      <c r="HM26" s="102"/>
      <c r="HN26" s="102"/>
      <c r="HO26" s="102"/>
      <c r="HP26" s="102"/>
      <c r="HQ26" s="102"/>
      <c r="HR26" s="102"/>
      <c r="HS26" s="102"/>
      <c r="HT26" s="102"/>
      <c r="HU26" s="102"/>
      <c r="HV26" s="102"/>
      <c r="HW26" s="102"/>
      <c r="HX26" s="102"/>
      <c r="HY26" s="102"/>
      <c r="HZ26" s="102"/>
      <c r="IA26" s="102"/>
      <c r="IB26" s="102"/>
      <c r="IC26" s="102"/>
      <c r="ID26" s="102"/>
      <c r="IE26" s="102"/>
      <c r="IF26" s="102"/>
      <c r="IG26" s="102"/>
      <c r="IH26" s="102"/>
      <c r="II26" s="102"/>
      <c r="IJ26" s="102"/>
      <c r="IK26" s="102"/>
      <c r="IL26" s="102"/>
      <c r="IM26" s="102"/>
      <c r="IN26" s="102"/>
      <c r="IO26" s="102"/>
      <c r="IP26" s="102"/>
      <c r="IQ26" s="102"/>
      <c r="IR26" s="102"/>
      <c r="IS26" s="102"/>
      <c r="IT26" s="102"/>
      <c r="IU26" s="102"/>
      <c r="IV26" s="102"/>
      <c r="IW26" s="102"/>
      <c r="IX26" s="102"/>
      <c r="IY26" s="102"/>
      <c r="IZ26" s="102"/>
      <c r="JA26" s="102"/>
      <c r="JB26" s="102"/>
      <c r="JC26" s="102"/>
      <c r="JD26" s="102"/>
      <c r="JE26" s="102"/>
      <c r="JF26" s="102"/>
      <c r="JG26" s="102"/>
      <c r="JH26" s="102"/>
      <c r="JI26" s="102"/>
      <c r="JJ26" s="102"/>
      <c r="JK26" s="102"/>
      <c r="JL26" s="102"/>
      <c r="JM26" s="102"/>
      <c r="JN26" s="102"/>
      <c r="JO26" s="102"/>
      <c r="JP26" s="102"/>
      <c r="JQ26" s="102"/>
      <c r="JR26" s="102"/>
      <c r="JS26" s="102"/>
      <c r="JT26" s="102"/>
      <c r="JU26" s="102"/>
      <c r="JV26" s="102"/>
      <c r="JW26" s="102"/>
      <c r="JX26" s="102"/>
      <c r="JY26" s="102"/>
      <c r="JZ26" s="102"/>
      <c r="KA26" s="102"/>
      <c r="KB26" s="102"/>
      <c r="KC26" s="102"/>
      <c r="KD26" s="102"/>
      <c r="KE26" s="102"/>
      <c r="KF26" s="102"/>
      <c r="KG26" s="102"/>
      <c r="KH26" s="102"/>
      <c r="KI26" s="102"/>
      <c r="KJ26" s="102"/>
      <c r="KK26" s="102"/>
      <c r="KL26" s="102"/>
      <c r="KM26" s="102"/>
      <c r="KN26" s="102"/>
      <c r="KO26" s="102"/>
      <c r="KP26" s="102"/>
      <c r="KQ26" s="102"/>
      <c r="KR26" s="102"/>
      <c r="KS26" s="102"/>
      <c r="KT26" s="102"/>
      <c r="KU26" s="102"/>
      <c r="KV26" s="102"/>
      <c r="KW26" s="102"/>
      <c r="KX26" s="102"/>
      <c r="KY26" s="102"/>
      <c r="KZ26" s="102"/>
      <c r="LA26" s="102"/>
      <c r="LB26" s="102"/>
      <c r="LC26" s="102"/>
      <c r="LD26" s="102"/>
      <c r="LE26" s="102"/>
      <c r="LF26" s="102"/>
      <c r="LG26" s="102"/>
      <c r="LH26" s="102"/>
      <c r="LI26" s="102"/>
      <c r="LJ26" s="102"/>
      <c r="LK26" s="102"/>
      <c r="LL26" s="102"/>
      <c r="LM26" s="102"/>
      <c r="LN26" s="102"/>
      <c r="LO26" s="102"/>
      <c r="LP26" s="102"/>
      <c r="LQ26" s="102"/>
      <c r="LR26" s="102"/>
      <c r="LS26" s="102"/>
      <c r="LT26" s="102"/>
      <c r="LU26" s="102"/>
      <c r="LV26" s="102"/>
      <c r="LW26" s="102"/>
      <c r="LX26" s="102"/>
      <c r="LY26" s="102"/>
    </row>
    <row r="27" ht="15" customHeight="1">
      <c r="A27" s="103"/>
      <c r="B27" s="103"/>
      <c r="C27" s="103"/>
      <c r="D27" s="103"/>
      <c r="E27" s="103"/>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c r="EB27" s="102"/>
      <c r="EC27" s="102"/>
      <c r="ED27" s="102"/>
      <c r="EE27" s="102"/>
      <c r="EF27" s="102"/>
      <c r="EG27" s="102"/>
      <c r="EH27" s="102"/>
      <c r="EI27" s="102"/>
      <c r="EJ27" s="102"/>
      <c r="EK27" s="102"/>
      <c r="EL27" s="102"/>
      <c r="EM27" s="102"/>
      <c r="EN27" s="102"/>
      <c r="EO27" s="102"/>
      <c r="EP27" s="102"/>
      <c r="EQ27" s="102"/>
      <c r="ER27" s="102"/>
      <c r="ES27" s="102"/>
      <c r="ET27" s="102"/>
      <c r="EU27" s="102"/>
      <c r="EV27" s="102"/>
      <c r="EW27" s="102"/>
      <c r="EX27" s="102"/>
      <c r="EY27" s="102"/>
      <c r="EZ27" s="102"/>
      <c r="FA27" s="102"/>
      <c r="FB27" s="102"/>
      <c r="FC27" s="102"/>
      <c r="FD27" s="102"/>
      <c r="FE27" s="102"/>
      <c r="FF27" s="102"/>
      <c r="FG27" s="102"/>
      <c r="FH27" s="102"/>
      <c r="FI27" s="102"/>
      <c r="FJ27" s="102"/>
      <c r="FK27" s="102"/>
      <c r="FL27" s="102"/>
      <c r="FM27" s="102"/>
      <c r="FN27" s="102"/>
      <c r="FO27" s="102"/>
      <c r="FP27" s="102"/>
      <c r="FQ27" s="102"/>
      <c r="FR27" s="102"/>
      <c r="FS27" s="102"/>
      <c r="FT27" s="102"/>
      <c r="FU27" s="102"/>
      <c r="FV27" s="102"/>
      <c r="FW27" s="102"/>
      <c r="FX27" s="102"/>
      <c r="FY27" s="102"/>
      <c r="FZ27" s="102"/>
      <c r="GA27" s="102"/>
      <c r="GB27" s="102"/>
      <c r="GC27" s="102"/>
      <c r="GD27" s="102"/>
      <c r="GE27" s="102"/>
      <c r="GF27" s="102"/>
      <c r="GG27" s="102"/>
      <c r="GH27" s="102"/>
      <c r="GI27" s="102"/>
      <c r="GJ27" s="102"/>
      <c r="GK27" s="102"/>
      <c r="GL27" s="102"/>
      <c r="GM27" s="102"/>
      <c r="GN27" s="102"/>
      <c r="GO27" s="102"/>
      <c r="GP27" s="102"/>
      <c r="GQ27" s="102"/>
      <c r="GR27" s="102"/>
      <c r="GS27" s="102"/>
      <c r="GT27" s="102"/>
      <c r="GU27" s="102"/>
      <c r="GV27" s="102"/>
      <c r="GW27" s="102"/>
      <c r="GX27" s="102"/>
      <c r="GY27" s="102"/>
      <c r="GZ27" s="102"/>
      <c r="HA27" s="102"/>
      <c r="HB27" s="102"/>
      <c r="HC27" s="102"/>
      <c r="HD27" s="102"/>
      <c r="HE27" s="102"/>
      <c r="HF27" s="102"/>
      <c r="HG27" s="102"/>
      <c r="HH27" s="102"/>
      <c r="HI27" s="102"/>
      <c r="HJ27" s="102"/>
      <c r="HK27" s="102"/>
      <c r="HL27" s="102"/>
      <c r="HM27" s="102"/>
      <c r="HN27" s="102"/>
      <c r="HO27" s="102"/>
      <c r="HP27" s="102"/>
      <c r="HQ27" s="102"/>
      <c r="HR27" s="102"/>
      <c r="HS27" s="102"/>
      <c r="HT27" s="102"/>
      <c r="HU27" s="102"/>
      <c r="HV27" s="102"/>
      <c r="HW27" s="102"/>
      <c r="HX27" s="102"/>
      <c r="HY27" s="102"/>
      <c r="HZ27" s="102"/>
      <c r="IA27" s="102"/>
      <c r="IB27" s="102"/>
      <c r="IC27" s="102"/>
      <c r="ID27" s="102"/>
      <c r="IE27" s="102"/>
      <c r="IF27" s="102"/>
      <c r="IG27" s="102"/>
      <c r="IH27" s="102"/>
      <c r="II27" s="102"/>
      <c r="IJ27" s="102"/>
      <c r="IK27" s="102"/>
      <c r="IL27" s="102"/>
      <c r="IM27" s="102"/>
      <c r="IN27" s="102"/>
      <c r="IO27" s="102"/>
      <c r="IP27" s="102"/>
      <c r="IQ27" s="102"/>
      <c r="IR27" s="102"/>
      <c r="IS27" s="102"/>
      <c r="IT27" s="102"/>
      <c r="IU27" s="102"/>
      <c r="IV27" s="102"/>
      <c r="IW27" s="102"/>
      <c r="IX27" s="102"/>
      <c r="IY27" s="102"/>
      <c r="IZ27" s="102"/>
      <c r="JA27" s="102"/>
      <c r="JB27" s="102"/>
      <c r="JC27" s="102"/>
      <c r="JD27" s="102"/>
      <c r="JE27" s="102"/>
      <c r="JF27" s="102"/>
      <c r="JG27" s="102"/>
      <c r="JH27" s="102"/>
      <c r="JI27" s="102"/>
      <c r="JJ27" s="102"/>
      <c r="JK27" s="102"/>
      <c r="JL27" s="102"/>
      <c r="JM27" s="102"/>
      <c r="JN27" s="102"/>
      <c r="JO27" s="102"/>
      <c r="JP27" s="102"/>
      <c r="JQ27" s="102"/>
      <c r="JR27" s="102"/>
      <c r="JS27" s="102"/>
      <c r="JT27" s="102"/>
      <c r="JU27" s="102"/>
      <c r="JV27" s="102"/>
      <c r="JW27" s="102"/>
      <c r="JX27" s="102"/>
      <c r="JY27" s="102"/>
      <c r="JZ27" s="102"/>
      <c r="KA27" s="102"/>
      <c r="KB27" s="102"/>
      <c r="KC27" s="102"/>
      <c r="KD27" s="102"/>
      <c r="KE27" s="102"/>
      <c r="KF27" s="102"/>
      <c r="KG27" s="102"/>
      <c r="KH27" s="102"/>
      <c r="KI27" s="102"/>
      <c r="KJ27" s="102"/>
      <c r="KK27" s="102"/>
      <c r="KL27" s="102"/>
      <c r="KM27" s="102"/>
      <c r="KN27" s="102"/>
      <c r="KO27" s="102"/>
      <c r="KP27" s="102"/>
      <c r="KQ27" s="102"/>
      <c r="KR27" s="102"/>
      <c r="KS27" s="102"/>
      <c r="KT27" s="102"/>
      <c r="KU27" s="102"/>
      <c r="KV27" s="102"/>
      <c r="KW27" s="102"/>
      <c r="KX27" s="102"/>
      <c r="KY27" s="102"/>
      <c r="KZ27" s="102"/>
      <c r="LA27" s="102"/>
      <c r="LB27" s="102"/>
      <c r="LC27" s="102"/>
      <c r="LD27" s="102"/>
      <c r="LE27" s="102"/>
      <c r="LF27" s="102"/>
      <c r="LG27" s="102"/>
      <c r="LH27" s="102"/>
      <c r="LI27" s="102"/>
      <c r="LJ27" s="102"/>
      <c r="LK27" s="102"/>
      <c r="LL27" s="102"/>
      <c r="LM27" s="102"/>
      <c r="LN27" s="102"/>
      <c r="LO27" s="102"/>
      <c r="LP27" s="102"/>
      <c r="LQ27" s="102"/>
      <c r="LR27" s="102"/>
      <c r="LS27" s="102"/>
      <c r="LT27" s="102"/>
      <c r="LU27" s="102"/>
      <c r="LV27" s="102"/>
      <c r="LW27" s="102"/>
      <c r="LX27" s="102"/>
      <c r="LY27" s="102"/>
    </row>
    <row r="28" s="133" customFormat="1" ht="29.5" customHeight="1">
      <c r="A28" s="134" t="s">
        <v>319</v>
      </c>
      <c r="B28" s="134"/>
      <c r="C28" s="134"/>
      <c r="D28" s="134"/>
      <c r="E28" s="134"/>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c r="FC28" s="135"/>
      <c r="FD28" s="135"/>
      <c r="FE28" s="135"/>
      <c r="FF28" s="135"/>
      <c r="FG28" s="135"/>
      <c r="FH28" s="135"/>
      <c r="FI28" s="135"/>
      <c r="FJ28" s="135"/>
      <c r="FK28" s="135"/>
      <c r="FL28" s="135"/>
      <c r="FM28" s="135"/>
      <c r="FN28" s="135"/>
      <c r="FO28" s="135"/>
      <c r="FP28" s="135"/>
      <c r="FQ28" s="135"/>
      <c r="FR28" s="135"/>
      <c r="FS28" s="135"/>
      <c r="FT28" s="135"/>
      <c r="FU28" s="135"/>
      <c r="FV28" s="135"/>
      <c r="FW28" s="135"/>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c r="GV28" s="135"/>
      <c r="GW28" s="135"/>
      <c r="GX28" s="135"/>
      <c r="GY28" s="135"/>
      <c r="GZ28" s="135"/>
      <c r="HA28" s="135"/>
      <c r="HB28" s="135"/>
      <c r="HC28" s="135"/>
      <c r="HD28" s="135"/>
      <c r="HE28" s="135"/>
      <c r="HF28" s="135"/>
      <c r="HG28" s="135"/>
      <c r="HH28" s="135"/>
      <c r="HI28" s="135"/>
      <c r="HJ28" s="135"/>
      <c r="HK28" s="135"/>
      <c r="HL28" s="135"/>
      <c r="HM28" s="135"/>
      <c r="HN28" s="135"/>
      <c r="HO28" s="135"/>
      <c r="HP28" s="135"/>
      <c r="HQ28" s="135"/>
      <c r="HR28" s="135"/>
      <c r="HS28" s="135"/>
      <c r="HT28" s="135"/>
      <c r="HU28" s="135"/>
      <c r="HV28" s="135"/>
      <c r="HW28" s="135"/>
      <c r="HX28" s="135"/>
      <c r="HY28" s="135"/>
      <c r="HZ28" s="135"/>
      <c r="IA28" s="135"/>
      <c r="IB28" s="135"/>
      <c r="IC28" s="135"/>
      <c r="ID28" s="135"/>
      <c r="IE28" s="135"/>
      <c r="IF28" s="135"/>
      <c r="IG28" s="135"/>
      <c r="IH28" s="135"/>
      <c r="II28" s="135"/>
      <c r="IJ28" s="135"/>
      <c r="IK28" s="135"/>
      <c r="IL28" s="135"/>
      <c r="IM28" s="135"/>
      <c r="IN28" s="135"/>
      <c r="IO28" s="135"/>
      <c r="IP28" s="135"/>
      <c r="IQ28" s="135"/>
      <c r="IR28" s="135"/>
      <c r="IS28" s="135"/>
      <c r="IT28" s="135"/>
      <c r="IU28" s="135"/>
      <c r="IV28" s="135"/>
      <c r="IW28" s="135"/>
      <c r="IX28" s="135"/>
      <c r="IY28" s="135"/>
      <c r="IZ28" s="135"/>
      <c r="JA28" s="135"/>
      <c r="JB28" s="135"/>
      <c r="JC28" s="135"/>
      <c r="JD28" s="135"/>
      <c r="JE28" s="135"/>
      <c r="JF28" s="135"/>
      <c r="JG28" s="135"/>
      <c r="JH28" s="135"/>
      <c r="JI28" s="135"/>
      <c r="JJ28" s="135"/>
      <c r="JK28" s="135"/>
      <c r="JL28" s="135"/>
      <c r="JM28" s="135"/>
      <c r="JN28" s="135"/>
      <c r="JO28" s="135"/>
      <c r="JP28" s="135"/>
      <c r="JQ28" s="135"/>
      <c r="JR28" s="135"/>
      <c r="JS28" s="135"/>
      <c r="JT28" s="135"/>
      <c r="JU28" s="135"/>
      <c r="JV28" s="135"/>
      <c r="JW28" s="135"/>
      <c r="JX28" s="135"/>
      <c r="JY28" s="135"/>
      <c r="JZ28" s="135"/>
      <c r="KA28" s="135"/>
      <c r="KB28" s="135"/>
      <c r="KC28" s="135"/>
      <c r="KD28" s="135"/>
      <c r="KE28" s="135"/>
      <c r="KF28" s="135"/>
      <c r="KG28" s="135"/>
      <c r="KH28" s="135"/>
      <c r="KI28" s="135"/>
      <c r="KJ28" s="135"/>
      <c r="KK28" s="135"/>
      <c r="KL28" s="135"/>
      <c r="KM28" s="135"/>
      <c r="KN28" s="135"/>
      <c r="KO28" s="135"/>
      <c r="KP28" s="135"/>
      <c r="KQ28" s="135"/>
      <c r="KR28" s="135"/>
      <c r="KS28" s="135"/>
      <c r="KT28" s="135"/>
      <c r="KU28" s="135"/>
      <c r="KV28" s="135"/>
      <c r="KW28" s="135"/>
      <c r="KX28" s="135"/>
      <c r="KY28" s="135"/>
      <c r="KZ28" s="135"/>
      <c r="LA28" s="135"/>
      <c r="LB28" s="135"/>
      <c r="LC28" s="135"/>
      <c r="LD28" s="135"/>
      <c r="LE28" s="135"/>
      <c r="LF28" s="135"/>
      <c r="LG28" s="135"/>
      <c r="LH28" s="135"/>
      <c r="LI28" s="135"/>
      <c r="LJ28" s="135"/>
      <c r="LK28" s="135"/>
      <c r="LL28" s="135"/>
      <c r="LM28" s="135"/>
      <c r="LN28" s="135"/>
      <c r="LO28" s="135"/>
      <c r="LP28" s="135"/>
      <c r="LQ28" s="135"/>
      <c r="LR28" s="135"/>
      <c r="LS28" s="135"/>
      <c r="LT28" s="135"/>
      <c r="LU28" s="135"/>
      <c r="LV28" s="135"/>
      <c r="LW28" s="135"/>
      <c r="LX28" s="135"/>
      <c r="LY28" s="135"/>
    </row>
    <row r="29" ht="18" customHeight="1">
      <c r="A29" s="136" t="s">
        <v>320</v>
      </c>
      <c r="B29" s="123" t="s">
        <v>321</v>
      </c>
      <c r="C29" s="123"/>
      <c r="D29" s="123"/>
      <c r="E29" s="123"/>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c r="EB29" s="102"/>
      <c r="EC29" s="102"/>
      <c r="ED29" s="102"/>
      <c r="EE29" s="102"/>
      <c r="EF29" s="102"/>
      <c r="EG29" s="102"/>
      <c r="EH29" s="102"/>
      <c r="EI29" s="102"/>
      <c r="EJ29" s="102"/>
      <c r="EK29" s="102"/>
      <c r="EL29" s="102"/>
      <c r="EM29" s="102"/>
      <c r="EN29" s="102"/>
      <c r="EO29" s="102"/>
      <c r="EP29" s="102"/>
      <c r="EQ29" s="102"/>
      <c r="ER29" s="102"/>
      <c r="ES29" s="102"/>
      <c r="ET29" s="102"/>
      <c r="EU29" s="102"/>
      <c r="EV29" s="102"/>
      <c r="EW29" s="102"/>
      <c r="EX29" s="102"/>
      <c r="EY29" s="102"/>
      <c r="EZ29" s="102"/>
      <c r="FA29" s="102"/>
      <c r="FB29" s="102"/>
      <c r="FC29" s="102"/>
      <c r="FD29" s="102"/>
      <c r="FE29" s="102"/>
      <c r="FF29" s="102"/>
      <c r="FG29" s="102"/>
      <c r="FH29" s="102"/>
      <c r="FI29" s="102"/>
      <c r="FJ29" s="102"/>
      <c r="FK29" s="102"/>
      <c r="FL29" s="102"/>
      <c r="FM29" s="102"/>
      <c r="FN29" s="102"/>
      <c r="FO29" s="102"/>
      <c r="FP29" s="102"/>
      <c r="FQ29" s="102"/>
      <c r="FR29" s="102"/>
      <c r="FS29" s="102"/>
      <c r="FT29" s="102"/>
      <c r="FU29" s="102"/>
      <c r="FV29" s="102"/>
      <c r="FW29" s="102"/>
      <c r="FX29" s="102"/>
      <c r="FY29" s="102"/>
      <c r="FZ29" s="102"/>
      <c r="GA29" s="102"/>
      <c r="GB29" s="102"/>
      <c r="GC29" s="102"/>
      <c r="GD29" s="102"/>
      <c r="GE29" s="102"/>
      <c r="GF29" s="102"/>
      <c r="GG29" s="102"/>
      <c r="GH29" s="102"/>
      <c r="GI29" s="102"/>
      <c r="GJ29" s="102"/>
      <c r="GK29" s="102"/>
      <c r="GL29" s="102"/>
      <c r="GM29" s="102"/>
      <c r="GN29" s="102"/>
      <c r="GO29" s="102"/>
      <c r="GP29" s="102"/>
      <c r="GQ29" s="102"/>
      <c r="GR29" s="102"/>
      <c r="GS29" s="102"/>
      <c r="GT29" s="102"/>
      <c r="GU29" s="102"/>
      <c r="GV29" s="102"/>
      <c r="GW29" s="102"/>
      <c r="GX29" s="102"/>
      <c r="GY29" s="102"/>
      <c r="GZ29" s="102"/>
      <c r="HA29" s="102"/>
      <c r="HB29" s="102"/>
      <c r="HC29" s="102"/>
      <c r="HD29" s="102"/>
      <c r="HE29" s="102"/>
      <c r="HF29" s="102"/>
      <c r="HG29" s="102"/>
      <c r="HH29" s="102"/>
      <c r="HI29" s="102"/>
      <c r="HJ29" s="102"/>
      <c r="HK29" s="102"/>
      <c r="HL29" s="102"/>
      <c r="HM29" s="102"/>
      <c r="HN29" s="102"/>
      <c r="HO29" s="102"/>
      <c r="HP29" s="102"/>
      <c r="HQ29" s="102"/>
      <c r="HR29" s="102"/>
      <c r="HS29" s="102"/>
      <c r="HT29" s="102"/>
      <c r="HU29" s="102"/>
      <c r="HV29" s="102"/>
      <c r="HW29" s="102"/>
      <c r="HX29" s="102"/>
      <c r="HY29" s="102"/>
      <c r="HZ29" s="102"/>
      <c r="IA29" s="102"/>
      <c r="IB29" s="102"/>
      <c r="IC29" s="102"/>
      <c r="ID29" s="102"/>
      <c r="IE29" s="102"/>
      <c r="IF29" s="102"/>
      <c r="IG29" s="102"/>
      <c r="IH29" s="102"/>
      <c r="II29" s="102"/>
      <c r="IJ29" s="102"/>
      <c r="IK29" s="102"/>
      <c r="IL29" s="102"/>
      <c r="IM29" s="102"/>
      <c r="IN29" s="102"/>
      <c r="IO29" s="102"/>
      <c r="IP29" s="102"/>
      <c r="IQ29" s="102"/>
      <c r="IR29" s="102"/>
      <c r="IS29" s="102"/>
      <c r="IT29" s="102"/>
      <c r="IU29" s="102"/>
      <c r="IV29" s="102"/>
      <c r="IW29" s="102"/>
      <c r="IX29" s="102"/>
      <c r="IY29" s="102"/>
      <c r="IZ29" s="102"/>
      <c r="JA29" s="102"/>
      <c r="JB29" s="102"/>
      <c r="JC29" s="102"/>
      <c r="JD29" s="102"/>
      <c r="JE29" s="102"/>
      <c r="JF29" s="102"/>
      <c r="JG29" s="102"/>
      <c r="JH29" s="102"/>
      <c r="JI29" s="102"/>
      <c r="JJ29" s="102"/>
      <c r="JK29" s="102"/>
      <c r="JL29" s="102"/>
      <c r="JM29" s="102"/>
      <c r="JN29" s="102"/>
      <c r="JO29" s="102"/>
      <c r="JP29" s="102"/>
      <c r="JQ29" s="102"/>
      <c r="JR29" s="102"/>
      <c r="JS29" s="102"/>
      <c r="JT29" s="102"/>
      <c r="JU29" s="102"/>
      <c r="JV29" s="102"/>
      <c r="JW29" s="102"/>
      <c r="JX29" s="102"/>
      <c r="JY29" s="102"/>
      <c r="JZ29" s="102"/>
      <c r="KA29" s="102"/>
      <c r="KB29" s="102"/>
      <c r="KC29" s="102"/>
      <c r="KD29" s="102"/>
      <c r="KE29" s="102"/>
      <c r="KF29" s="102"/>
      <c r="KG29" s="102"/>
      <c r="KH29" s="102"/>
      <c r="KI29" s="102"/>
      <c r="KJ29" s="102"/>
      <c r="KK29" s="102"/>
      <c r="KL29" s="102"/>
      <c r="KM29" s="102"/>
      <c r="KN29" s="102"/>
      <c r="KO29" s="102"/>
      <c r="KP29" s="102"/>
      <c r="KQ29" s="102"/>
      <c r="KR29" s="102"/>
      <c r="KS29" s="102"/>
      <c r="KT29" s="102"/>
      <c r="KU29" s="102"/>
      <c r="KV29" s="102"/>
      <c r="KW29" s="102"/>
      <c r="KX29" s="102"/>
      <c r="KY29" s="102"/>
      <c r="KZ29" s="102"/>
      <c r="LA29" s="102"/>
      <c r="LB29" s="102"/>
      <c r="LC29" s="102"/>
      <c r="LD29" s="102"/>
      <c r="LE29" s="102"/>
      <c r="LF29" s="102"/>
      <c r="LG29" s="102"/>
      <c r="LH29" s="102"/>
      <c r="LI29" s="102"/>
      <c r="LJ29" s="102"/>
      <c r="LK29" s="102"/>
      <c r="LL29" s="102"/>
      <c r="LM29" s="102"/>
      <c r="LN29" s="102"/>
      <c r="LO29" s="102"/>
      <c r="LP29" s="102"/>
      <c r="LQ29" s="102"/>
      <c r="LR29" s="102"/>
      <c r="LS29" s="102"/>
      <c r="LT29" s="102"/>
      <c r="LU29" s="102"/>
      <c r="LV29" s="102"/>
      <c r="LW29" s="102"/>
      <c r="LX29" s="102"/>
      <c r="LY29" s="102"/>
    </row>
    <row r="30" ht="18" customHeight="1">
      <c r="A30" s="137" t="s">
        <v>322</v>
      </c>
      <c r="B30" s="123" t="s">
        <v>323</v>
      </c>
      <c r="C30" s="123"/>
      <c r="D30" s="123"/>
      <c r="E30" s="123"/>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c r="EO30" s="102"/>
      <c r="EP30" s="102"/>
      <c r="EQ30" s="102"/>
      <c r="ER30" s="102"/>
      <c r="ES30" s="102"/>
      <c r="ET30" s="102"/>
      <c r="EU30" s="102"/>
      <c r="EV30" s="102"/>
      <c r="EW30" s="102"/>
      <c r="EX30" s="102"/>
      <c r="EY30" s="102"/>
      <c r="EZ30" s="102"/>
      <c r="FA30" s="102"/>
      <c r="FB30" s="102"/>
      <c r="FC30" s="102"/>
      <c r="FD30" s="102"/>
      <c r="FE30" s="102"/>
      <c r="FF30" s="102"/>
      <c r="FG30" s="102"/>
      <c r="FH30" s="102"/>
      <c r="FI30" s="102"/>
      <c r="FJ30" s="102"/>
      <c r="FK30" s="102"/>
      <c r="FL30" s="102"/>
      <c r="FM30" s="102"/>
      <c r="FN30" s="102"/>
      <c r="FO30" s="102"/>
      <c r="FP30" s="102"/>
      <c r="FQ30" s="102"/>
      <c r="FR30" s="102"/>
      <c r="FS30" s="102"/>
      <c r="FT30" s="102"/>
      <c r="FU30" s="102"/>
      <c r="FV30" s="102"/>
      <c r="FW30" s="102"/>
      <c r="FX30" s="102"/>
      <c r="FY30" s="102"/>
      <c r="FZ30" s="102"/>
      <c r="GA30" s="102"/>
      <c r="GB30" s="102"/>
      <c r="GC30" s="102"/>
      <c r="GD30" s="102"/>
      <c r="GE30" s="102"/>
      <c r="GF30" s="102"/>
      <c r="GG30" s="102"/>
      <c r="GH30" s="102"/>
      <c r="GI30" s="102"/>
      <c r="GJ30" s="102"/>
      <c r="GK30" s="102"/>
      <c r="GL30" s="102"/>
      <c r="GM30" s="102"/>
      <c r="GN30" s="102"/>
      <c r="GO30" s="102"/>
      <c r="GP30" s="102"/>
      <c r="GQ30" s="102"/>
      <c r="GR30" s="102"/>
      <c r="GS30" s="102"/>
      <c r="GT30" s="102"/>
      <c r="GU30" s="102"/>
      <c r="GV30" s="102"/>
      <c r="GW30" s="102"/>
      <c r="GX30" s="102"/>
      <c r="GY30" s="102"/>
      <c r="GZ30" s="102"/>
      <c r="HA30" s="102"/>
      <c r="HB30" s="102"/>
      <c r="HC30" s="102"/>
      <c r="HD30" s="102"/>
      <c r="HE30" s="102"/>
      <c r="HF30" s="102"/>
      <c r="HG30" s="102"/>
      <c r="HH30" s="102"/>
      <c r="HI30" s="102"/>
      <c r="HJ30" s="102"/>
      <c r="HK30" s="102"/>
      <c r="HL30" s="102"/>
      <c r="HM30" s="102"/>
      <c r="HN30" s="102"/>
      <c r="HO30" s="102"/>
      <c r="HP30" s="102"/>
      <c r="HQ30" s="102"/>
      <c r="HR30" s="102"/>
      <c r="HS30" s="102"/>
      <c r="HT30" s="102"/>
      <c r="HU30" s="102"/>
      <c r="HV30" s="102"/>
      <c r="HW30" s="102"/>
      <c r="HX30" s="102"/>
      <c r="HY30" s="102"/>
      <c r="HZ30" s="102"/>
      <c r="IA30" s="102"/>
      <c r="IB30" s="102"/>
      <c r="IC30" s="102"/>
      <c r="ID30" s="102"/>
      <c r="IE30" s="102"/>
      <c r="IF30" s="102"/>
      <c r="IG30" s="102"/>
      <c r="IH30" s="102"/>
      <c r="II30" s="102"/>
      <c r="IJ30" s="102"/>
      <c r="IK30" s="102"/>
      <c r="IL30" s="102"/>
      <c r="IM30" s="102"/>
      <c r="IN30" s="102"/>
      <c r="IO30" s="102"/>
      <c r="IP30" s="102"/>
      <c r="IQ30" s="102"/>
      <c r="IR30" s="102"/>
      <c r="IS30" s="102"/>
      <c r="IT30" s="102"/>
      <c r="IU30" s="102"/>
      <c r="IV30" s="102"/>
      <c r="IW30" s="102"/>
      <c r="IX30" s="102"/>
      <c r="IY30" s="102"/>
      <c r="IZ30" s="102"/>
      <c r="JA30" s="102"/>
      <c r="JB30" s="102"/>
      <c r="JC30" s="102"/>
      <c r="JD30" s="102"/>
      <c r="JE30" s="102"/>
      <c r="JF30" s="102"/>
      <c r="JG30" s="102"/>
      <c r="JH30" s="102"/>
      <c r="JI30" s="102"/>
      <c r="JJ30" s="102"/>
      <c r="JK30" s="102"/>
      <c r="JL30" s="102"/>
      <c r="JM30" s="102"/>
      <c r="JN30" s="102"/>
      <c r="JO30" s="102"/>
      <c r="JP30" s="102"/>
      <c r="JQ30" s="102"/>
      <c r="JR30" s="102"/>
      <c r="JS30" s="102"/>
      <c r="JT30" s="102"/>
      <c r="JU30" s="102"/>
      <c r="JV30" s="102"/>
      <c r="JW30" s="102"/>
      <c r="JX30" s="102"/>
      <c r="JY30" s="102"/>
      <c r="JZ30" s="102"/>
      <c r="KA30" s="102"/>
      <c r="KB30" s="102"/>
      <c r="KC30" s="102"/>
      <c r="KD30" s="102"/>
      <c r="KE30" s="102"/>
      <c r="KF30" s="102"/>
      <c r="KG30" s="102"/>
      <c r="KH30" s="102"/>
      <c r="KI30" s="102"/>
      <c r="KJ30" s="102"/>
      <c r="KK30" s="102"/>
      <c r="KL30" s="102"/>
      <c r="KM30" s="102"/>
      <c r="KN30" s="102"/>
      <c r="KO30" s="102"/>
      <c r="KP30" s="102"/>
      <c r="KQ30" s="102"/>
      <c r="KR30" s="102"/>
      <c r="KS30" s="102"/>
      <c r="KT30" s="102"/>
      <c r="KU30" s="102"/>
      <c r="KV30" s="102"/>
      <c r="KW30" s="102"/>
      <c r="KX30" s="102"/>
      <c r="KY30" s="102"/>
      <c r="KZ30" s="102"/>
      <c r="LA30" s="102"/>
      <c r="LB30" s="102"/>
      <c r="LC30" s="102"/>
      <c r="LD30" s="102"/>
      <c r="LE30" s="102"/>
      <c r="LF30" s="102"/>
      <c r="LG30" s="102"/>
      <c r="LH30" s="102"/>
      <c r="LI30" s="102"/>
      <c r="LJ30" s="102"/>
      <c r="LK30" s="102"/>
      <c r="LL30" s="102"/>
      <c r="LM30" s="102"/>
      <c r="LN30" s="102"/>
      <c r="LO30" s="102"/>
      <c r="LP30" s="102"/>
      <c r="LQ30" s="102"/>
      <c r="LR30" s="102"/>
      <c r="LS30" s="102"/>
      <c r="LT30" s="102"/>
      <c r="LU30" s="102"/>
      <c r="LV30" s="102"/>
      <c r="LW30" s="102"/>
      <c r="LX30" s="102"/>
      <c r="LY30" s="102"/>
    </row>
    <row r="31" ht="18" customHeight="1">
      <c r="A31" s="138" t="s">
        <v>324</v>
      </c>
      <c r="B31" s="123" t="s">
        <v>325</v>
      </c>
      <c r="C31" s="123"/>
      <c r="D31" s="123"/>
      <c r="E31" s="123"/>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c r="EO31" s="102"/>
      <c r="EP31" s="102"/>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2"/>
      <c r="FN31" s="102"/>
      <c r="FO31" s="102"/>
      <c r="FP31" s="102"/>
      <c r="FQ31" s="102"/>
      <c r="FR31" s="102"/>
      <c r="FS31" s="102"/>
      <c r="FT31" s="102"/>
      <c r="FU31" s="102"/>
      <c r="FV31" s="102"/>
      <c r="FW31" s="102"/>
      <c r="FX31" s="102"/>
      <c r="FY31" s="102"/>
      <c r="FZ31" s="102"/>
      <c r="GA31" s="102"/>
      <c r="GB31" s="102"/>
      <c r="GC31" s="102"/>
      <c r="GD31" s="102"/>
      <c r="GE31" s="102"/>
      <c r="GF31" s="102"/>
      <c r="GG31" s="102"/>
      <c r="GH31" s="102"/>
      <c r="GI31" s="102"/>
      <c r="GJ31" s="102"/>
      <c r="GK31" s="102"/>
      <c r="GL31" s="102"/>
      <c r="GM31" s="102"/>
      <c r="GN31" s="102"/>
      <c r="GO31" s="102"/>
      <c r="GP31" s="102"/>
      <c r="GQ31" s="102"/>
      <c r="GR31" s="102"/>
      <c r="GS31" s="102"/>
      <c r="GT31" s="102"/>
      <c r="GU31" s="102"/>
      <c r="GV31" s="102"/>
      <c r="GW31" s="102"/>
      <c r="GX31" s="102"/>
      <c r="GY31" s="102"/>
      <c r="GZ31" s="102"/>
      <c r="HA31" s="102"/>
      <c r="HB31" s="102"/>
      <c r="HC31" s="102"/>
      <c r="HD31" s="102"/>
      <c r="HE31" s="102"/>
      <c r="HF31" s="102"/>
      <c r="HG31" s="102"/>
      <c r="HH31" s="102"/>
      <c r="HI31" s="102"/>
      <c r="HJ31" s="102"/>
      <c r="HK31" s="102"/>
      <c r="HL31" s="102"/>
      <c r="HM31" s="102"/>
      <c r="HN31" s="102"/>
      <c r="HO31" s="102"/>
      <c r="HP31" s="102"/>
      <c r="HQ31" s="102"/>
      <c r="HR31" s="102"/>
      <c r="HS31" s="102"/>
      <c r="HT31" s="102"/>
      <c r="HU31" s="102"/>
      <c r="HV31" s="102"/>
      <c r="HW31" s="102"/>
      <c r="HX31" s="102"/>
      <c r="HY31" s="102"/>
      <c r="HZ31" s="102"/>
      <c r="IA31" s="102"/>
      <c r="IB31" s="102"/>
      <c r="IC31" s="102"/>
      <c r="ID31" s="102"/>
      <c r="IE31" s="102"/>
      <c r="IF31" s="102"/>
      <c r="IG31" s="102"/>
      <c r="IH31" s="102"/>
      <c r="II31" s="102"/>
      <c r="IJ31" s="102"/>
      <c r="IK31" s="102"/>
      <c r="IL31" s="102"/>
      <c r="IM31" s="102"/>
      <c r="IN31" s="102"/>
      <c r="IO31" s="102"/>
      <c r="IP31" s="102"/>
      <c r="IQ31" s="102"/>
      <c r="IR31" s="102"/>
      <c r="IS31" s="102"/>
      <c r="IT31" s="102"/>
      <c r="IU31" s="102"/>
      <c r="IV31" s="102"/>
      <c r="IW31" s="102"/>
      <c r="IX31" s="102"/>
      <c r="IY31" s="102"/>
      <c r="IZ31" s="102"/>
      <c r="JA31" s="102"/>
      <c r="JB31" s="102"/>
      <c r="JC31" s="102"/>
      <c r="JD31" s="102"/>
      <c r="JE31" s="102"/>
      <c r="JF31" s="102"/>
      <c r="JG31" s="102"/>
      <c r="JH31" s="102"/>
      <c r="JI31" s="102"/>
      <c r="JJ31" s="102"/>
      <c r="JK31" s="102"/>
      <c r="JL31" s="102"/>
      <c r="JM31" s="102"/>
      <c r="JN31" s="102"/>
      <c r="JO31" s="102"/>
      <c r="JP31" s="102"/>
      <c r="JQ31" s="102"/>
      <c r="JR31" s="102"/>
      <c r="JS31" s="102"/>
      <c r="JT31" s="102"/>
      <c r="JU31" s="102"/>
      <c r="JV31" s="102"/>
      <c r="JW31" s="102"/>
      <c r="JX31" s="102"/>
      <c r="JY31" s="102"/>
      <c r="JZ31" s="102"/>
      <c r="KA31" s="102"/>
      <c r="KB31" s="102"/>
      <c r="KC31" s="102"/>
      <c r="KD31" s="102"/>
      <c r="KE31" s="102"/>
      <c r="KF31" s="102"/>
      <c r="KG31" s="102"/>
      <c r="KH31" s="102"/>
      <c r="KI31" s="102"/>
      <c r="KJ31" s="102"/>
      <c r="KK31" s="102"/>
      <c r="KL31" s="102"/>
      <c r="KM31" s="102"/>
      <c r="KN31" s="102"/>
      <c r="KO31" s="102"/>
      <c r="KP31" s="102"/>
      <c r="KQ31" s="102"/>
      <c r="KR31" s="102"/>
      <c r="KS31" s="102"/>
      <c r="KT31" s="102"/>
      <c r="KU31" s="102"/>
      <c r="KV31" s="102"/>
      <c r="KW31" s="102"/>
      <c r="KX31" s="102"/>
      <c r="KY31" s="102"/>
      <c r="KZ31" s="102"/>
      <c r="LA31" s="102"/>
      <c r="LB31" s="102"/>
      <c r="LC31" s="102"/>
      <c r="LD31" s="102"/>
      <c r="LE31" s="102"/>
      <c r="LF31" s="102"/>
      <c r="LG31" s="102"/>
      <c r="LH31" s="102"/>
      <c r="LI31" s="102"/>
      <c r="LJ31" s="102"/>
      <c r="LK31" s="102"/>
      <c r="LL31" s="102"/>
      <c r="LM31" s="102"/>
      <c r="LN31" s="102"/>
      <c r="LO31" s="102"/>
      <c r="LP31" s="102"/>
      <c r="LQ31" s="102"/>
      <c r="LR31" s="102"/>
      <c r="LS31" s="102"/>
      <c r="LT31" s="102"/>
      <c r="LU31" s="102"/>
      <c r="LV31" s="102"/>
      <c r="LW31" s="102"/>
      <c r="LX31" s="102"/>
      <c r="LY31" s="102"/>
    </row>
    <row r="32" ht="18" customHeight="1">
      <c r="A32" s="139" t="s">
        <v>326</v>
      </c>
      <c r="B32" s="123" t="s">
        <v>327</v>
      </c>
      <c r="C32" s="123"/>
      <c r="D32" s="123"/>
      <c r="E32" s="123"/>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c r="EO32" s="102"/>
      <c r="EP32" s="102"/>
      <c r="EQ32" s="102"/>
      <c r="ER32" s="102"/>
      <c r="ES32" s="102"/>
      <c r="ET32" s="102"/>
      <c r="EU32" s="102"/>
      <c r="EV32" s="102"/>
      <c r="EW32" s="102"/>
      <c r="EX32" s="102"/>
      <c r="EY32" s="102"/>
      <c r="EZ32" s="102"/>
      <c r="FA32" s="102"/>
      <c r="FB32" s="102"/>
      <c r="FC32" s="102"/>
      <c r="FD32" s="102"/>
      <c r="FE32" s="102"/>
      <c r="FF32" s="102"/>
      <c r="FG32" s="102"/>
      <c r="FH32" s="102"/>
      <c r="FI32" s="102"/>
      <c r="FJ32" s="102"/>
      <c r="FK32" s="102"/>
      <c r="FL32" s="102"/>
      <c r="FM32" s="102"/>
      <c r="FN32" s="102"/>
      <c r="FO32" s="102"/>
      <c r="FP32" s="102"/>
      <c r="FQ32" s="102"/>
      <c r="FR32" s="102"/>
      <c r="FS32" s="102"/>
      <c r="FT32" s="102"/>
      <c r="FU32" s="102"/>
      <c r="FV32" s="102"/>
      <c r="FW32" s="102"/>
      <c r="FX32" s="102"/>
      <c r="FY32" s="102"/>
      <c r="FZ32" s="102"/>
      <c r="GA32" s="102"/>
      <c r="GB32" s="102"/>
      <c r="GC32" s="102"/>
      <c r="GD32" s="102"/>
      <c r="GE32" s="102"/>
      <c r="GF32" s="102"/>
      <c r="GG32" s="102"/>
      <c r="GH32" s="102"/>
      <c r="GI32" s="102"/>
      <c r="GJ32" s="102"/>
      <c r="GK32" s="102"/>
      <c r="GL32" s="102"/>
      <c r="GM32" s="102"/>
      <c r="GN32" s="102"/>
      <c r="GO32" s="102"/>
      <c r="GP32" s="102"/>
      <c r="GQ32" s="102"/>
      <c r="GR32" s="102"/>
      <c r="GS32" s="102"/>
      <c r="GT32" s="102"/>
      <c r="GU32" s="102"/>
      <c r="GV32" s="102"/>
      <c r="GW32" s="102"/>
      <c r="GX32" s="102"/>
      <c r="GY32" s="102"/>
      <c r="GZ32" s="102"/>
      <c r="HA32" s="102"/>
      <c r="HB32" s="102"/>
      <c r="HC32" s="102"/>
      <c r="HD32" s="102"/>
      <c r="HE32" s="102"/>
      <c r="HF32" s="102"/>
      <c r="HG32" s="102"/>
      <c r="HH32" s="102"/>
      <c r="HI32" s="102"/>
      <c r="HJ32" s="102"/>
      <c r="HK32" s="102"/>
      <c r="HL32" s="102"/>
      <c r="HM32" s="102"/>
      <c r="HN32" s="102"/>
      <c r="HO32" s="102"/>
      <c r="HP32" s="102"/>
      <c r="HQ32" s="102"/>
      <c r="HR32" s="102"/>
      <c r="HS32" s="102"/>
      <c r="HT32" s="102"/>
      <c r="HU32" s="102"/>
      <c r="HV32" s="102"/>
      <c r="HW32" s="102"/>
      <c r="HX32" s="102"/>
      <c r="HY32" s="102"/>
      <c r="HZ32" s="102"/>
      <c r="IA32" s="102"/>
      <c r="IB32" s="102"/>
      <c r="IC32" s="102"/>
      <c r="ID32" s="102"/>
      <c r="IE32" s="102"/>
      <c r="IF32" s="102"/>
      <c r="IG32" s="102"/>
      <c r="IH32" s="102"/>
      <c r="II32" s="102"/>
      <c r="IJ32" s="102"/>
      <c r="IK32" s="102"/>
      <c r="IL32" s="102"/>
      <c r="IM32" s="102"/>
      <c r="IN32" s="102"/>
      <c r="IO32" s="102"/>
      <c r="IP32" s="102"/>
      <c r="IQ32" s="102"/>
      <c r="IR32" s="102"/>
      <c r="IS32" s="102"/>
      <c r="IT32" s="102"/>
      <c r="IU32" s="102"/>
      <c r="IV32" s="102"/>
      <c r="IW32" s="102"/>
      <c r="IX32" s="102"/>
      <c r="IY32" s="102"/>
      <c r="IZ32" s="102"/>
      <c r="JA32" s="102"/>
      <c r="JB32" s="102"/>
      <c r="JC32" s="102"/>
      <c r="JD32" s="102"/>
      <c r="JE32" s="102"/>
      <c r="JF32" s="102"/>
      <c r="JG32" s="102"/>
      <c r="JH32" s="102"/>
      <c r="JI32" s="102"/>
      <c r="JJ32" s="102"/>
      <c r="JK32" s="102"/>
      <c r="JL32" s="102"/>
      <c r="JM32" s="102"/>
      <c r="JN32" s="102"/>
      <c r="JO32" s="102"/>
      <c r="JP32" s="102"/>
      <c r="JQ32" s="102"/>
      <c r="JR32" s="102"/>
      <c r="JS32" s="102"/>
      <c r="JT32" s="102"/>
      <c r="JU32" s="102"/>
      <c r="JV32" s="102"/>
      <c r="JW32" s="102"/>
      <c r="JX32" s="102"/>
      <c r="JY32" s="102"/>
      <c r="JZ32" s="102"/>
      <c r="KA32" s="102"/>
      <c r="KB32" s="102"/>
      <c r="KC32" s="102"/>
      <c r="KD32" s="102"/>
      <c r="KE32" s="102"/>
      <c r="KF32" s="102"/>
      <c r="KG32" s="102"/>
      <c r="KH32" s="102"/>
      <c r="KI32" s="102"/>
      <c r="KJ32" s="102"/>
      <c r="KK32" s="102"/>
      <c r="KL32" s="102"/>
      <c r="KM32" s="102"/>
      <c r="KN32" s="102"/>
      <c r="KO32" s="102"/>
      <c r="KP32" s="102"/>
      <c r="KQ32" s="102"/>
      <c r="KR32" s="102"/>
      <c r="KS32" s="102"/>
      <c r="KT32" s="102"/>
      <c r="KU32" s="102"/>
      <c r="KV32" s="102"/>
      <c r="KW32" s="102"/>
      <c r="KX32" s="102"/>
      <c r="KY32" s="102"/>
      <c r="KZ32" s="102"/>
      <c r="LA32" s="102"/>
      <c r="LB32" s="102"/>
      <c r="LC32" s="102"/>
      <c r="LD32" s="102"/>
      <c r="LE32" s="102"/>
      <c r="LF32" s="102"/>
      <c r="LG32" s="102"/>
      <c r="LH32" s="102"/>
      <c r="LI32" s="102"/>
      <c r="LJ32" s="102"/>
      <c r="LK32" s="102"/>
      <c r="LL32" s="102"/>
      <c r="LM32" s="102"/>
      <c r="LN32" s="102"/>
      <c r="LO32" s="102"/>
      <c r="LP32" s="102"/>
      <c r="LQ32" s="102"/>
      <c r="LR32" s="102"/>
      <c r="LS32" s="102"/>
      <c r="LT32" s="102"/>
      <c r="LU32" s="102"/>
      <c r="LV32" s="102"/>
      <c r="LW32" s="102"/>
      <c r="LX32" s="102"/>
      <c r="LY32" s="102"/>
    </row>
    <row r="33" ht="15" customHeight="1">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c r="EO33" s="102"/>
      <c r="EP33" s="102"/>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2"/>
      <c r="FN33" s="102"/>
      <c r="FO33" s="102"/>
      <c r="FP33" s="102"/>
      <c r="FQ33" s="102"/>
      <c r="FR33" s="102"/>
      <c r="FS33" s="102"/>
      <c r="FT33" s="102"/>
      <c r="FU33" s="102"/>
      <c r="FV33" s="102"/>
      <c r="FW33" s="102"/>
      <c r="FX33" s="102"/>
      <c r="FY33" s="102"/>
      <c r="FZ33" s="102"/>
      <c r="GA33" s="102"/>
      <c r="GB33" s="102"/>
      <c r="GC33" s="102"/>
      <c r="GD33" s="102"/>
      <c r="GE33" s="102"/>
      <c r="GF33" s="102"/>
      <c r="GG33" s="102"/>
      <c r="GH33" s="102"/>
      <c r="GI33" s="102"/>
      <c r="GJ33" s="102"/>
      <c r="GK33" s="102"/>
      <c r="GL33" s="102"/>
      <c r="GM33" s="102"/>
      <c r="GN33" s="102"/>
      <c r="GO33" s="102"/>
      <c r="GP33" s="102"/>
      <c r="GQ33" s="102"/>
      <c r="GR33" s="102"/>
      <c r="GS33" s="102"/>
      <c r="GT33" s="102"/>
      <c r="GU33" s="102"/>
      <c r="GV33" s="102"/>
      <c r="GW33" s="102"/>
      <c r="GX33" s="102"/>
      <c r="GY33" s="102"/>
      <c r="GZ33" s="102"/>
      <c r="HA33" s="102"/>
      <c r="HB33" s="102"/>
      <c r="HC33" s="102"/>
      <c r="HD33" s="102"/>
      <c r="HE33" s="102"/>
      <c r="HF33" s="102"/>
      <c r="HG33" s="102"/>
      <c r="HH33" s="102"/>
      <c r="HI33" s="102"/>
      <c r="HJ33" s="102"/>
      <c r="HK33" s="102"/>
      <c r="HL33" s="102"/>
      <c r="HM33" s="102"/>
      <c r="HN33" s="102"/>
      <c r="HO33" s="102"/>
      <c r="HP33" s="102"/>
      <c r="HQ33" s="102"/>
      <c r="HR33" s="102"/>
      <c r="HS33" s="102"/>
      <c r="HT33" s="102"/>
      <c r="HU33" s="102"/>
      <c r="HV33" s="102"/>
      <c r="HW33" s="102"/>
      <c r="HX33" s="102"/>
      <c r="HY33" s="102"/>
      <c r="HZ33" s="102"/>
      <c r="IA33" s="102"/>
      <c r="IB33" s="102"/>
      <c r="IC33" s="102"/>
      <c r="ID33" s="102"/>
      <c r="IE33" s="102"/>
      <c r="IF33" s="102"/>
      <c r="IG33" s="102"/>
      <c r="IH33" s="102"/>
      <c r="II33" s="102"/>
      <c r="IJ33" s="102"/>
      <c r="IK33" s="102"/>
      <c r="IL33" s="102"/>
      <c r="IM33" s="102"/>
      <c r="IN33" s="102"/>
      <c r="IO33" s="102"/>
      <c r="IP33" s="102"/>
      <c r="IQ33" s="102"/>
      <c r="IR33" s="102"/>
      <c r="IS33" s="102"/>
      <c r="IT33" s="102"/>
      <c r="IU33" s="102"/>
      <c r="IV33" s="102"/>
      <c r="IW33" s="102"/>
      <c r="IX33" s="102"/>
      <c r="IY33" s="102"/>
      <c r="IZ33" s="102"/>
      <c r="JA33" s="102"/>
      <c r="JB33" s="102"/>
      <c r="JC33" s="102"/>
      <c r="JD33" s="102"/>
      <c r="JE33" s="102"/>
      <c r="JF33" s="102"/>
      <c r="JG33" s="102"/>
      <c r="JH33" s="102"/>
      <c r="JI33" s="102"/>
      <c r="JJ33" s="102"/>
      <c r="JK33" s="102"/>
      <c r="JL33" s="102"/>
      <c r="JM33" s="102"/>
      <c r="JN33" s="102"/>
      <c r="JO33" s="102"/>
      <c r="JP33" s="102"/>
      <c r="JQ33" s="102"/>
      <c r="JR33" s="102"/>
      <c r="JS33" s="102"/>
      <c r="JT33" s="102"/>
      <c r="JU33" s="102"/>
      <c r="JV33" s="102"/>
      <c r="JW33" s="102"/>
      <c r="JX33" s="102"/>
      <c r="JY33" s="102"/>
      <c r="JZ33" s="102"/>
      <c r="KA33" s="102"/>
      <c r="KB33" s="102"/>
      <c r="KC33" s="102"/>
      <c r="KD33" s="102"/>
      <c r="KE33" s="102"/>
      <c r="KF33" s="102"/>
      <c r="KG33" s="102"/>
      <c r="KH33" s="102"/>
      <c r="KI33" s="102"/>
      <c r="KJ33" s="102"/>
      <c r="KK33" s="102"/>
      <c r="KL33" s="102"/>
      <c r="KM33" s="102"/>
      <c r="KN33" s="102"/>
      <c r="KO33" s="102"/>
      <c r="KP33" s="102"/>
      <c r="KQ33" s="102"/>
      <c r="KR33" s="102"/>
      <c r="KS33" s="102"/>
      <c r="KT33" s="102"/>
      <c r="KU33" s="102"/>
      <c r="KV33" s="102"/>
      <c r="KW33" s="102"/>
      <c r="KX33" s="102"/>
      <c r="KY33" s="102"/>
      <c r="KZ33" s="102"/>
      <c r="LA33" s="102"/>
      <c r="LB33" s="102"/>
      <c r="LC33" s="102"/>
      <c r="LD33" s="102"/>
      <c r="LE33" s="102"/>
      <c r="LF33" s="102"/>
      <c r="LG33" s="102"/>
      <c r="LH33" s="102"/>
      <c r="LI33" s="102"/>
      <c r="LJ33" s="102"/>
      <c r="LK33" s="102"/>
      <c r="LL33" s="102"/>
      <c r="LM33" s="102"/>
      <c r="LN33" s="102"/>
      <c r="LO33" s="102"/>
      <c r="LP33" s="102"/>
      <c r="LQ33" s="102"/>
      <c r="LR33" s="102"/>
      <c r="LS33" s="102"/>
      <c r="LT33" s="102"/>
      <c r="LU33" s="102"/>
      <c r="LV33" s="102"/>
      <c r="LW33" s="102"/>
      <c r="LX33" s="102"/>
      <c r="LY33" s="102"/>
    </row>
    <row r="34" ht="15" customHeight="1">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c r="EB34" s="102"/>
      <c r="EC34" s="102"/>
      <c r="ED34" s="102"/>
      <c r="EE34" s="102"/>
      <c r="EF34" s="102"/>
      <c r="EG34" s="102"/>
      <c r="EH34" s="102"/>
      <c r="EI34" s="102"/>
      <c r="EJ34" s="102"/>
      <c r="EK34" s="102"/>
      <c r="EL34" s="102"/>
      <c r="EM34" s="102"/>
      <c r="EN34" s="102"/>
      <c r="EO34" s="102"/>
      <c r="EP34" s="102"/>
      <c r="EQ34" s="102"/>
      <c r="ER34" s="102"/>
      <c r="ES34" s="102"/>
      <c r="ET34" s="102"/>
      <c r="EU34" s="102"/>
      <c r="EV34" s="102"/>
      <c r="EW34" s="102"/>
      <c r="EX34" s="102"/>
      <c r="EY34" s="102"/>
      <c r="EZ34" s="102"/>
      <c r="FA34" s="102"/>
      <c r="FB34" s="102"/>
      <c r="FC34" s="102"/>
      <c r="FD34" s="102"/>
      <c r="FE34" s="102"/>
      <c r="FF34" s="102"/>
      <c r="FG34" s="102"/>
      <c r="FH34" s="102"/>
      <c r="FI34" s="102"/>
      <c r="FJ34" s="102"/>
      <c r="FK34" s="102"/>
      <c r="FL34" s="102"/>
      <c r="FM34" s="102"/>
      <c r="FN34" s="102"/>
      <c r="FO34" s="102"/>
      <c r="FP34" s="102"/>
      <c r="FQ34" s="102"/>
      <c r="FR34" s="102"/>
      <c r="FS34" s="102"/>
      <c r="FT34" s="102"/>
      <c r="FU34" s="102"/>
      <c r="FV34" s="102"/>
      <c r="FW34" s="102"/>
      <c r="FX34" s="102"/>
      <c r="FY34" s="102"/>
      <c r="FZ34" s="102"/>
      <c r="GA34" s="102"/>
      <c r="GB34" s="102"/>
      <c r="GC34" s="102"/>
      <c r="GD34" s="102"/>
      <c r="GE34" s="102"/>
      <c r="GF34" s="102"/>
      <c r="GG34" s="102"/>
      <c r="GH34" s="102"/>
      <c r="GI34" s="102"/>
      <c r="GJ34" s="102"/>
      <c r="GK34" s="102"/>
      <c r="GL34" s="102"/>
      <c r="GM34" s="102"/>
      <c r="GN34" s="102"/>
      <c r="GO34" s="102"/>
      <c r="GP34" s="102"/>
      <c r="GQ34" s="102"/>
      <c r="GR34" s="102"/>
      <c r="GS34" s="102"/>
      <c r="GT34" s="102"/>
      <c r="GU34" s="102"/>
      <c r="GV34" s="102"/>
      <c r="GW34" s="102"/>
      <c r="GX34" s="102"/>
      <c r="GY34" s="102"/>
      <c r="GZ34" s="102"/>
      <c r="HA34" s="102"/>
      <c r="HB34" s="102"/>
      <c r="HC34" s="102"/>
      <c r="HD34" s="102"/>
      <c r="HE34" s="102"/>
      <c r="HF34" s="102"/>
      <c r="HG34" s="102"/>
      <c r="HH34" s="102"/>
      <c r="HI34" s="102"/>
      <c r="HJ34" s="102"/>
      <c r="HK34" s="102"/>
      <c r="HL34" s="102"/>
      <c r="HM34" s="102"/>
      <c r="HN34" s="102"/>
      <c r="HO34" s="102"/>
      <c r="HP34" s="102"/>
      <c r="HQ34" s="102"/>
      <c r="HR34" s="102"/>
      <c r="HS34" s="102"/>
      <c r="HT34" s="102"/>
      <c r="HU34" s="102"/>
      <c r="HV34" s="102"/>
      <c r="HW34" s="102"/>
      <c r="HX34" s="102"/>
      <c r="HY34" s="102"/>
      <c r="HZ34" s="102"/>
      <c r="IA34" s="102"/>
      <c r="IB34" s="102"/>
      <c r="IC34" s="102"/>
      <c r="ID34" s="102"/>
      <c r="IE34" s="102"/>
      <c r="IF34" s="102"/>
      <c r="IG34" s="102"/>
      <c r="IH34" s="102"/>
      <c r="II34" s="102"/>
      <c r="IJ34" s="102"/>
      <c r="IK34" s="102"/>
      <c r="IL34" s="102"/>
      <c r="IM34" s="102"/>
      <c r="IN34" s="102"/>
      <c r="IO34" s="102"/>
      <c r="IP34" s="102"/>
      <c r="IQ34" s="102"/>
      <c r="IR34" s="102"/>
      <c r="IS34" s="102"/>
      <c r="IT34" s="102"/>
      <c r="IU34" s="102"/>
      <c r="IV34" s="102"/>
      <c r="IW34" s="102"/>
      <c r="IX34" s="102"/>
      <c r="IY34" s="102"/>
      <c r="IZ34" s="102"/>
      <c r="JA34" s="102"/>
      <c r="JB34" s="102"/>
      <c r="JC34" s="102"/>
      <c r="JD34" s="102"/>
      <c r="JE34" s="102"/>
      <c r="JF34" s="102"/>
      <c r="JG34" s="102"/>
      <c r="JH34" s="102"/>
      <c r="JI34" s="102"/>
      <c r="JJ34" s="102"/>
      <c r="JK34" s="102"/>
      <c r="JL34" s="102"/>
      <c r="JM34" s="102"/>
      <c r="JN34" s="102"/>
      <c r="JO34" s="102"/>
      <c r="JP34" s="102"/>
      <c r="JQ34" s="102"/>
      <c r="JR34" s="102"/>
      <c r="JS34" s="102"/>
      <c r="JT34" s="102"/>
      <c r="JU34" s="102"/>
      <c r="JV34" s="102"/>
      <c r="JW34" s="102"/>
      <c r="JX34" s="102"/>
      <c r="JY34" s="102"/>
      <c r="JZ34" s="102"/>
      <c r="KA34" s="102"/>
      <c r="KB34" s="102"/>
      <c r="KC34" s="102"/>
      <c r="KD34" s="102"/>
      <c r="KE34" s="102"/>
      <c r="KF34" s="102"/>
      <c r="KG34" s="102"/>
      <c r="KH34" s="102"/>
      <c r="KI34" s="102"/>
      <c r="KJ34" s="102"/>
      <c r="KK34" s="102"/>
      <c r="KL34" s="102"/>
      <c r="KM34" s="102"/>
      <c r="KN34" s="102"/>
      <c r="KO34" s="102"/>
      <c r="KP34" s="102"/>
      <c r="KQ34" s="102"/>
      <c r="KR34" s="102"/>
      <c r="KS34" s="102"/>
      <c r="KT34" s="102"/>
      <c r="KU34" s="102"/>
      <c r="KV34" s="102"/>
      <c r="KW34" s="102"/>
      <c r="KX34" s="102"/>
      <c r="KY34" s="102"/>
      <c r="KZ34" s="102"/>
      <c r="LA34" s="102"/>
      <c r="LB34" s="102"/>
      <c r="LC34" s="102"/>
      <c r="LD34" s="102"/>
      <c r="LE34" s="102"/>
      <c r="LF34" s="102"/>
      <c r="LG34" s="102"/>
      <c r="LH34" s="102"/>
      <c r="LI34" s="102"/>
      <c r="LJ34" s="102"/>
      <c r="LK34" s="102"/>
      <c r="LL34" s="102"/>
      <c r="LM34" s="102"/>
      <c r="LN34" s="102"/>
      <c r="LO34" s="102"/>
      <c r="LP34" s="102"/>
      <c r="LQ34" s="102"/>
      <c r="LR34" s="102"/>
      <c r="LS34" s="102"/>
      <c r="LT34" s="102"/>
      <c r="LU34" s="102"/>
      <c r="LV34" s="102"/>
      <c r="LW34" s="102"/>
      <c r="LX34" s="102"/>
      <c r="LY34" s="102"/>
    </row>
    <row r="35" ht="15" customHeight="1">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c r="EB35" s="102"/>
      <c r="EC35" s="102"/>
      <c r="ED35" s="102"/>
      <c r="EE35" s="102"/>
      <c r="EF35" s="102"/>
      <c r="EG35" s="102"/>
      <c r="EH35" s="102"/>
      <c r="EI35" s="102"/>
      <c r="EJ35" s="102"/>
      <c r="EK35" s="102"/>
      <c r="EL35" s="102"/>
      <c r="EM35" s="102"/>
      <c r="EN35" s="102"/>
      <c r="EO35" s="102"/>
      <c r="EP35" s="102"/>
      <c r="EQ35" s="102"/>
      <c r="ER35" s="102"/>
      <c r="ES35" s="102"/>
      <c r="ET35" s="102"/>
      <c r="EU35" s="102"/>
      <c r="EV35" s="102"/>
      <c r="EW35" s="102"/>
      <c r="EX35" s="102"/>
      <c r="EY35" s="102"/>
      <c r="EZ35" s="102"/>
      <c r="FA35" s="102"/>
      <c r="FB35" s="102"/>
      <c r="FC35" s="102"/>
      <c r="FD35" s="102"/>
      <c r="FE35" s="102"/>
      <c r="FF35" s="102"/>
      <c r="FG35" s="102"/>
      <c r="FH35" s="102"/>
      <c r="FI35" s="102"/>
      <c r="FJ35" s="102"/>
      <c r="FK35" s="102"/>
      <c r="FL35" s="102"/>
      <c r="FM35" s="102"/>
      <c r="FN35" s="102"/>
      <c r="FO35" s="102"/>
      <c r="FP35" s="102"/>
      <c r="FQ35" s="102"/>
      <c r="FR35" s="102"/>
      <c r="FS35" s="102"/>
      <c r="FT35" s="102"/>
      <c r="FU35" s="102"/>
      <c r="FV35" s="102"/>
      <c r="FW35" s="102"/>
      <c r="FX35" s="102"/>
      <c r="FY35" s="102"/>
      <c r="FZ35" s="102"/>
      <c r="GA35" s="102"/>
      <c r="GB35" s="102"/>
      <c r="GC35" s="102"/>
      <c r="GD35" s="102"/>
      <c r="GE35" s="102"/>
      <c r="GF35" s="102"/>
      <c r="GG35" s="102"/>
      <c r="GH35" s="102"/>
      <c r="GI35" s="102"/>
      <c r="GJ35" s="102"/>
      <c r="GK35" s="102"/>
      <c r="GL35" s="102"/>
      <c r="GM35" s="102"/>
      <c r="GN35" s="102"/>
      <c r="GO35" s="102"/>
      <c r="GP35" s="102"/>
      <c r="GQ35" s="102"/>
      <c r="GR35" s="102"/>
      <c r="GS35" s="102"/>
      <c r="GT35" s="102"/>
      <c r="GU35" s="102"/>
      <c r="GV35" s="102"/>
      <c r="GW35" s="102"/>
      <c r="GX35" s="102"/>
      <c r="GY35" s="102"/>
      <c r="GZ35" s="102"/>
      <c r="HA35" s="102"/>
      <c r="HB35" s="102"/>
      <c r="HC35" s="102"/>
      <c r="HD35" s="102"/>
      <c r="HE35" s="102"/>
      <c r="HF35" s="102"/>
      <c r="HG35" s="102"/>
      <c r="HH35" s="102"/>
      <c r="HI35" s="102"/>
      <c r="HJ35" s="102"/>
      <c r="HK35" s="102"/>
      <c r="HL35" s="102"/>
      <c r="HM35" s="102"/>
      <c r="HN35" s="102"/>
      <c r="HO35" s="102"/>
      <c r="HP35" s="102"/>
      <c r="HQ35" s="102"/>
      <c r="HR35" s="102"/>
      <c r="HS35" s="102"/>
      <c r="HT35" s="102"/>
      <c r="HU35" s="102"/>
      <c r="HV35" s="102"/>
      <c r="HW35" s="102"/>
      <c r="HX35" s="102"/>
      <c r="HY35" s="102"/>
      <c r="HZ35" s="102"/>
      <c r="IA35" s="102"/>
      <c r="IB35" s="102"/>
      <c r="IC35" s="102"/>
      <c r="ID35" s="102"/>
      <c r="IE35" s="102"/>
      <c r="IF35" s="102"/>
      <c r="IG35" s="102"/>
      <c r="IH35" s="102"/>
      <c r="II35" s="102"/>
      <c r="IJ35" s="102"/>
      <c r="IK35" s="102"/>
      <c r="IL35" s="102"/>
      <c r="IM35" s="102"/>
      <c r="IN35" s="102"/>
      <c r="IO35" s="102"/>
      <c r="IP35" s="102"/>
      <c r="IQ35" s="102"/>
      <c r="IR35" s="102"/>
      <c r="IS35" s="102"/>
      <c r="IT35" s="102"/>
      <c r="IU35" s="102"/>
      <c r="IV35" s="102"/>
      <c r="IW35" s="102"/>
      <c r="IX35" s="102"/>
      <c r="IY35" s="102"/>
      <c r="IZ35" s="102"/>
      <c r="JA35" s="102"/>
      <c r="JB35" s="102"/>
      <c r="JC35" s="102"/>
      <c r="JD35" s="102"/>
      <c r="JE35" s="102"/>
      <c r="JF35" s="102"/>
      <c r="JG35" s="102"/>
      <c r="JH35" s="102"/>
      <c r="JI35" s="102"/>
      <c r="JJ35" s="102"/>
      <c r="JK35" s="102"/>
      <c r="JL35" s="102"/>
      <c r="JM35" s="102"/>
      <c r="JN35" s="102"/>
      <c r="JO35" s="102"/>
      <c r="JP35" s="102"/>
      <c r="JQ35" s="102"/>
      <c r="JR35" s="102"/>
      <c r="JS35" s="102"/>
      <c r="JT35" s="102"/>
      <c r="JU35" s="102"/>
      <c r="JV35" s="102"/>
      <c r="JW35" s="102"/>
      <c r="JX35" s="102"/>
      <c r="JY35" s="102"/>
      <c r="JZ35" s="102"/>
      <c r="KA35" s="102"/>
      <c r="KB35" s="102"/>
      <c r="KC35" s="102"/>
      <c r="KD35" s="102"/>
      <c r="KE35" s="102"/>
      <c r="KF35" s="102"/>
      <c r="KG35" s="102"/>
      <c r="KH35" s="102"/>
      <c r="KI35" s="102"/>
      <c r="KJ35" s="102"/>
      <c r="KK35" s="102"/>
      <c r="KL35" s="102"/>
      <c r="KM35" s="102"/>
      <c r="KN35" s="102"/>
      <c r="KO35" s="102"/>
      <c r="KP35" s="102"/>
      <c r="KQ35" s="102"/>
      <c r="KR35" s="102"/>
      <c r="KS35" s="102"/>
      <c r="KT35" s="102"/>
      <c r="KU35" s="102"/>
      <c r="KV35" s="102"/>
      <c r="KW35" s="102"/>
      <c r="KX35" s="102"/>
      <c r="KY35" s="102"/>
      <c r="KZ35" s="102"/>
      <c r="LA35" s="102"/>
      <c r="LB35" s="102"/>
      <c r="LC35" s="102"/>
      <c r="LD35" s="102"/>
      <c r="LE35" s="102"/>
      <c r="LF35" s="102"/>
      <c r="LG35" s="102"/>
      <c r="LH35" s="102"/>
      <c r="LI35" s="102"/>
      <c r="LJ35" s="102"/>
      <c r="LK35" s="102"/>
      <c r="LL35" s="102"/>
      <c r="LM35" s="102"/>
      <c r="LN35" s="102"/>
      <c r="LO35" s="102"/>
      <c r="LP35" s="102"/>
      <c r="LQ35" s="102"/>
      <c r="LR35" s="102"/>
      <c r="LS35" s="102"/>
      <c r="LT35" s="102"/>
      <c r="LU35" s="102"/>
      <c r="LV35" s="102"/>
      <c r="LW35" s="102"/>
      <c r="LX35" s="102"/>
      <c r="LY35" s="102"/>
    </row>
    <row r="36" ht="15" customHeight="1">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c r="EB36" s="102"/>
      <c r="EC36" s="102"/>
      <c r="ED36" s="102"/>
      <c r="EE36" s="102"/>
      <c r="EF36" s="102"/>
      <c r="EG36" s="102"/>
      <c r="EH36" s="102"/>
      <c r="EI36" s="102"/>
      <c r="EJ36" s="102"/>
      <c r="EK36" s="102"/>
      <c r="EL36" s="102"/>
      <c r="EM36" s="102"/>
      <c r="EN36" s="102"/>
      <c r="EO36" s="102"/>
      <c r="EP36" s="102"/>
      <c r="EQ36" s="102"/>
      <c r="ER36" s="102"/>
      <c r="ES36" s="102"/>
      <c r="ET36" s="102"/>
      <c r="EU36" s="102"/>
      <c r="EV36" s="102"/>
      <c r="EW36" s="102"/>
      <c r="EX36" s="102"/>
      <c r="EY36" s="102"/>
      <c r="EZ36" s="102"/>
      <c r="FA36" s="102"/>
      <c r="FB36" s="102"/>
      <c r="FC36" s="102"/>
      <c r="FD36" s="102"/>
      <c r="FE36" s="102"/>
      <c r="FF36" s="102"/>
      <c r="FG36" s="102"/>
      <c r="FH36" s="102"/>
      <c r="FI36" s="102"/>
      <c r="FJ36" s="102"/>
      <c r="FK36" s="102"/>
      <c r="FL36" s="102"/>
      <c r="FM36" s="102"/>
      <c r="FN36" s="102"/>
      <c r="FO36" s="102"/>
      <c r="FP36" s="102"/>
      <c r="FQ36" s="102"/>
      <c r="FR36" s="102"/>
      <c r="FS36" s="102"/>
      <c r="FT36" s="102"/>
      <c r="FU36" s="102"/>
      <c r="FV36" s="102"/>
      <c r="FW36" s="102"/>
      <c r="FX36" s="102"/>
      <c r="FY36" s="102"/>
      <c r="FZ36" s="102"/>
      <c r="GA36" s="102"/>
      <c r="GB36" s="102"/>
      <c r="GC36" s="102"/>
      <c r="GD36" s="102"/>
      <c r="GE36" s="102"/>
      <c r="GF36" s="102"/>
      <c r="GG36" s="102"/>
      <c r="GH36" s="102"/>
      <c r="GI36" s="102"/>
      <c r="GJ36" s="102"/>
      <c r="GK36" s="102"/>
      <c r="GL36" s="102"/>
      <c r="GM36" s="102"/>
      <c r="GN36" s="102"/>
      <c r="GO36" s="102"/>
      <c r="GP36" s="102"/>
      <c r="GQ36" s="102"/>
      <c r="GR36" s="102"/>
      <c r="GS36" s="102"/>
      <c r="GT36" s="102"/>
      <c r="GU36" s="102"/>
      <c r="GV36" s="102"/>
      <c r="GW36" s="102"/>
      <c r="GX36" s="102"/>
      <c r="GY36" s="102"/>
      <c r="GZ36" s="102"/>
      <c r="HA36" s="102"/>
      <c r="HB36" s="102"/>
      <c r="HC36" s="102"/>
      <c r="HD36" s="102"/>
      <c r="HE36" s="102"/>
      <c r="HF36" s="102"/>
      <c r="HG36" s="102"/>
      <c r="HH36" s="102"/>
      <c r="HI36" s="102"/>
      <c r="HJ36" s="102"/>
      <c r="HK36" s="102"/>
      <c r="HL36" s="102"/>
      <c r="HM36" s="102"/>
      <c r="HN36" s="102"/>
      <c r="HO36" s="102"/>
      <c r="HP36" s="102"/>
      <c r="HQ36" s="102"/>
      <c r="HR36" s="102"/>
      <c r="HS36" s="102"/>
      <c r="HT36" s="102"/>
      <c r="HU36" s="102"/>
      <c r="HV36" s="102"/>
      <c r="HW36" s="102"/>
      <c r="HX36" s="102"/>
      <c r="HY36" s="102"/>
      <c r="HZ36" s="102"/>
      <c r="IA36" s="102"/>
      <c r="IB36" s="102"/>
      <c r="IC36" s="102"/>
      <c r="ID36" s="102"/>
      <c r="IE36" s="102"/>
      <c r="IF36" s="102"/>
      <c r="IG36" s="102"/>
      <c r="IH36" s="102"/>
      <c r="II36" s="102"/>
      <c r="IJ36" s="102"/>
      <c r="IK36" s="102"/>
      <c r="IL36" s="102"/>
      <c r="IM36" s="102"/>
      <c r="IN36" s="102"/>
      <c r="IO36" s="102"/>
      <c r="IP36" s="102"/>
      <c r="IQ36" s="102"/>
      <c r="IR36" s="102"/>
      <c r="IS36" s="102"/>
      <c r="IT36" s="102"/>
      <c r="IU36" s="102"/>
      <c r="IV36" s="102"/>
      <c r="IW36" s="102"/>
      <c r="IX36" s="102"/>
      <c r="IY36" s="102"/>
      <c r="IZ36" s="102"/>
      <c r="JA36" s="102"/>
      <c r="JB36" s="102"/>
      <c r="JC36" s="102"/>
      <c r="JD36" s="102"/>
      <c r="JE36" s="102"/>
      <c r="JF36" s="102"/>
      <c r="JG36" s="102"/>
      <c r="JH36" s="102"/>
      <c r="JI36" s="102"/>
      <c r="JJ36" s="102"/>
      <c r="JK36" s="102"/>
      <c r="JL36" s="102"/>
      <c r="JM36" s="102"/>
      <c r="JN36" s="102"/>
      <c r="JO36" s="102"/>
      <c r="JP36" s="102"/>
      <c r="JQ36" s="102"/>
      <c r="JR36" s="102"/>
      <c r="JS36" s="102"/>
      <c r="JT36" s="102"/>
      <c r="JU36" s="102"/>
      <c r="JV36" s="102"/>
      <c r="JW36" s="102"/>
      <c r="JX36" s="102"/>
      <c r="JY36" s="102"/>
      <c r="JZ36" s="102"/>
      <c r="KA36" s="102"/>
      <c r="KB36" s="102"/>
      <c r="KC36" s="102"/>
      <c r="KD36" s="102"/>
      <c r="KE36" s="102"/>
      <c r="KF36" s="102"/>
      <c r="KG36" s="102"/>
      <c r="KH36" s="102"/>
      <c r="KI36" s="102"/>
      <c r="KJ36" s="102"/>
      <c r="KK36" s="102"/>
      <c r="KL36" s="102"/>
      <c r="KM36" s="102"/>
      <c r="KN36" s="102"/>
      <c r="KO36" s="102"/>
      <c r="KP36" s="102"/>
      <c r="KQ36" s="102"/>
      <c r="KR36" s="102"/>
      <c r="KS36" s="102"/>
      <c r="KT36" s="102"/>
      <c r="KU36" s="102"/>
      <c r="KV36" s="102"/>
      <c r="KW36" s="102"/>
      <c r="KX36" s="102"/>
      <c r="KY36" s="102"/>
      <c r="KZ36" s="102"/>
      <c r="LA36" s="102"/>
      <c r="LB36" s="102"/>
      <c r="LC36" s="102"/>
      <c r="LD36" s="102"/>
      <c r="LE36" s="102"/>
      <c r="LF36" s="102"/>
      <c r="LG36" s="102"/>
      <c r="LH36" s="102"/>
      <c r="LI36" s="102"/>
      <c r="LJ36" s="102"/>
      <c r="LK36" s="102"/>
      <c r="LL36" s="102"/>
      <c r="LM36" s="102"/>
      <c r="LN36" s="102"/>
      <c r="LO36" s="102"/>
      <c r="LP36" s="102"/>
      <c r="LQ36" s="102"/>
      <c r="LR36" s="102"/>
      <c r="LS36" s="102"/>
      <c r="LT36" s="102"/>
      <c r="LU36" s="102"/>
      <c r="LV36" s="102"/>
      <c r="LW36" s="102"/>
      <c r="LX36" s="102"/>
      <c r="LY36" s="102"/>
    </row>
    <row r="37" ht="15" customHeight="1">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c r="EO37" s="102"/>
      <c r="EP37" s="102"/>
      <c r="EQ37" s="102"/>
      <c r="ER37" s="102"/>
      <c r="ES37" s="102"/>
      <c r="ET37" s="102"/>
      <c r="EU37" s="102"/>
      <c r="EV37" s="102"/>
      <c r="EW37" s="102"/>
      <c r="EX37" s="102"/>
      <c r="EY37" s="102"/>
      <c r="EZ37" s="102"/>
      <c r="FA37" s="102"/>
      <c r="FB37" s="102"/>
      <c r="FC37" s="102"/>
      <c r="FD37" s="102"/>
      <c r="FE37" s="102"/>
      <c r="FF37" s="102"/>
      <c r="FG37" s="102"/>
      <c r="FH37" s="102"/>
      <c r="FI37" s="102"/>
      <c r="FJ37" s="102"/>
      <c r="FK37" s="102"/>
      <c r="FL37" s="102"/>
      <c r="FM37" s="102"/>
      <c r="FN37" s="102"/>
      <c r="FO37" s="102"/>
      <c r="FP37" s="102"/>
      <c r="FQ37" s="102"/>
      <c r="FR37" s="102"/>
      <c r="FS37" s="102"/>
      <c r="FT37" s="102"/>
      <c r="FU37" s="102"/>
      <c r="FV37" s="102"/>
      <c r="FW37" s="102"/>
      <c r="FX37" s="102"/>
      <c r="FY37" s="102"/>
      <c r="FZ37" s="102"/>
      <c r="GA37" s="102"/>
      <c r="GB37" s="102"/>
      <c r="GC37" s="102"/>
      <c r="GD37" s="102"/>
      <c r="GE37" s="102"/>
      <c r="GF37" s="102"/>
      <c r="GG37" s="102"/>
      <c r="GH37" s="102"/>
      <c r="GI37" s="102"/>
      <c r="GJ37" s="102"/>
      <c r="GK37" s="102"/>
      <c r="GL37" s="102"/>
      <c r="GM37" s="102"/>
      <c r="GN37" s="102"/>
      <c r="GO37" s="102"/>
      <c r="GP37" s="102"/>
      <c r="GQ37" s="102"/>
      <c r="GR37" s="102"/>
      <c r="GS37" s="102"/>
      <c r="GT37" s="102"/>
      <c r="GU37" s="102"/>
      <c r="GV37" s="102"/>
      <c r="GW37" s="102"/>
      <c r="GX37" s="102"/>
      <c r="GY37" s="102"/>
      <c r="GZ37" s="102"/>
      <c r="HA37" s="102"/>
      <c r="HB37" s="102"/>
      <c r="HC37" s="102"/>
      <c r="HD37" s="102"/>
      <c r="HE37" s="102"/>
      <c r="HF37" s="102"/>
      <c r="HG37" s="102"/>
      <c r="HH37" s="102"/>
      <c r="HI37" s="102"/>
      <c r="HJ37" s="102"/>
      <c r="HK37" s="102"/>
      <c r="HL37" s="102"/>
      <c r="HM37" s="102"/>
      <c r="HN37" s="102"/>
      <c r="HO37" s="102"/>
      <c r="HP37" s="102"/>
      <c r="HQ37" s="102"/>
      <c r="HR37" s="102"/>
      <c r="HS37" s="102"/>
      <c r="HT37" s="102"/>
      <c r="HU37" s="102"/>
      <c r="HV37" s="102"/>
      <c r="HW37" s="102"/>
      <c r="HX37" s="102"/>
      <c r="HY37" s="102"/>
      <c r="HZ37" s="102"/>
      <c r="IA37" s="102"/>
      <c r="IB37" s="102"/>
      <c r="IC37" s="102"/>
      <c r="ID37" s="102"/>
      <c r="IE37" s="102"/>
      <c r="IF37" s="102"/>
      <c r="IG37" s="102"/>
      <c r="IH37" s="102"/>
      <c r="II37" s="102"/>
      <c r="IJ37" s="102"/>
      <c r="IK37" s="102"/>
      <c r="IL37" s="102"/>
      <c r="IM37" s="102"/>
      <c r="IN37" s="102"/>
      <c r="IO37" s="102"/>
      <c r="IP37" s="102"/>
      <c r="IQ37" s="102"/>
      <c r="IR37" s="102"/>
      <c r="IS37" s="102"/>
      <c r="IT37" s="102"/>
      <c r="IU37" s="102"/>
      <c r="IV37" s="102"/>
      <c r="IW37" s="102"/>
      <c r="IX37" s="102"/>
      <c r="IY37" s="102"/>
      <c r="IZ37" s="102"/>
      <c r="JA37" s="102"/>
      <c r="JB37" s="102"/>
      <c r="JC37" s="102"/>
      <c r="JD37" s="102"/>
      <c r="JE37" s="102"/>
      <c r="JF37" s="102"/>
      <c r="JG37" s="102"/>
      <c r="JH37" s="102"/>
      <c r="JI37" s="102"/>
      <c r="JJ37" s="102"/>
      <c r="JK37" s="102"/>
      <c r="JL37" s="102"/>
      <c r="JM37" s="102"/>
      <c r="JN37" s="102"/>
      <c r="JO37" s="102"/>
      <c r="JP37" s="102"/>
      <c r="JQ37" s="102"/>
      <c r="JR37" s="102"/>
      <c r="JS37" s="102"/>
      <c r="JT37" s="102"/>
      <c r="JU37" s="102"/>
      <c r="JV37" s="102"/>
      <c r="JW37" s="102"/>
      <c r="JX37" s="102"/>
      <c r="JY37" s="102"/>
      <c r="JZ37" s="102"/>
      <c r="KA37" s="102"/>
      <c r="KB37" s="102"/>
      <c r="KC37" s="102"/>
      <c r="KD37" s="102"/>
      <c r="KE37" s="102"/>
      <c r="KF37" s="102"/>
      <c r="KG37" s="102"/>
      <c r="KH37" s="102"/>
      <c r="KI37" s="102"/>
      <c r="KJ37" s="102"/>
      <c r="KK37" s="102"/>
      <c r="KL37" s="102"/>
      <c r="KM37" s="102"/>
      <c r="KN37" s="102"/>
      <c r="KO37" s="102"/>
      <c r="KP37" s="102"/>
      <c r="KQ37" s="102"/>
      <c r="KR37" s="102"/>
      <c r="KS37" s="102"/>
      <c r="KT37" s="102"/>
      <c r="KU37" s="102"/>
      <c r="KV37" s="102"/>
      <c r="KW37" s="102"/>
      <c r="KX37" s="102"/>
      <c r="KY37" s="102"/>
      <c r="KZ37" s="102"/>
      <c r="LA37" s="102"/>
      <c r="LB37" s="102"/>
      <c r="LC37" s="102"/>
      <c r="LD37" s="102"/>
      <c r="LE37" s="102"/>
      <c r="LF37" s="102"/>
      <c r="LG37" s="102"/>
      <c r="LH37" s="102"/>
      <c r="LI37" s="102"/>
      <c r="LJ37" s="102"/>
      <c r="LK37" s="102"/>
      <c r="LL37" s="102"/>
      <c r="LM37" s="102"/>
      <c r="LN37" s="102"/>
      <c r="LO37" s="102"/>
      <c r="LP37" s="102"/>
      <c r="LQ37" s="102"/>
      <c r="LR37" s="102"/>
      <c r="LS37" s="102"/>
      <c r="LT37" s="102"/>
      <c r="LU37" s="102"/>
      <c r="LV37" s="102"/>
      <c r="LW37" s="102"/>
      <c r="LX37" s="102"/>
      <c r="LY37" s="102"/>
    </row>
    <row r="38" ht="15" customHeight="1">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c r="EO38" s="102"/>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2"/>
      <c r="FN38" s="102"/>
      <c r="FO38" s="102"/>
      <c r="FP38" s="102"/>
      <c r="FQ38" s="102"/>
      <c r="FR38" s="102"/>
      <c r="FS38" s="102"/>
      <c r="FT38" s="102"/>
      <c r="FU38" s="102"/>
      <c r="FV38" s="102"/>
      <c r="FW38" s="102"/>
      <c r="FX38" s="102"/>
      <c r="FY38" s="102"/>
      <c r="FZ38" s="102"/>
      <c r="GA38" s="102"/>
      <c r="GB38" s="102"/>
      <c r="GC38" s="102"/>
      <c r="GD38" s="102"/>
      <c r="GE38" s="102"/>
      <c r="GF38" s="102"/>
      <c r="GG38" s="102"/>
      <c r="GH38" s="102"/>
      <c r="GI38" s="102"/>
      <c r="GJ38" s="102"/>
      <c r="GK38" s="102"/>
      <c r="GL38" s="102"/>
      <c r="GM38" s="102"/>
      <c r="GN38" s="102"/>
      <c r="GO38" s="102"/>
      <c r="GP38" s="102"/>
      <c r="GQ38" s="102"/>
      <c r="GR38" s="102"/>
      <c r="GS38" s="102"/>
      <c r="GT38" s="102"/>
      <c r="GU38" s="102"/>
      <c r="GV38" s="102"/>
      <c r="GW38" s="102"/>
      <c r="GX38" s="102"/>
      <c r="GY38" s="102"/>
      <c r="GZ38" s="102"/>
      <c r="HA38" s="102"/>
      <c r="HB38" s="102"/>
      <c r="HC38" s="102"/>
      <c r="HD38" s="102"/>
      <c r="HE38" s="102"/>
      <c r="HF38" s="102"/>
      <c r="HG38" s="102"/>
      <c r="HH38" s="102"/>
      <c r="HI38" s="102"/>
      <c r="HJ38" s="102"/>
      <c r="HK38" s="102"/>
      <c r="HL38" s="102"/>
      <c r="HM38" s="102"/>
      <c r="HN38" s="102"/>
      <c r="HO38" s="102"/>
      <c r="HP38" s="102"/>
      <c r="HQ38" s="102"/>
      <c r="HR38" s="102"/>
      <c r="HS38" s="102"/>
      <c r="HT38" s="102"/>
      <c r="HU38" s="102"/>
      <c r="HV38" s="102"/>
      <c r="HW38" s="102"/>
      <c r="HX38" s="102"/>
      <c r="HY38" s="102"/>
      <c r="HZ38" s="102"/>
      <c r="IA38" s="102"/>
      <c r="IB38" s="102"/>
      <c r="IC38" s="102"/>
      <c r="ID38" s="102"/>
      <c r="IE38" s="102"/>
      <c r="IF38" s="102"/>
      <c r="IG38" s="102"/>
      <c r="IH38" s="102"/>
      <c r="II38" s="102"/>
      <c r="IJ38" s="102"/>
      <c r="IK38" s="102"/>
      <c r="IL38" s="102"/>
      <c r="IM38" s="102"/>
      <c r="IN38" s="102"/>
      <c r="IO38" s="102"/>
      <c r="IP38" s="102"/>
      <c r="IQ38" s="102"/>
      <c r="IR38" s="102"/>
      <c r="IS38" s="102"/>
      <c r="IT38" s="102"/>
      <c r="IU38" s="102"/>
      <c r="IV38" s="102"/>
      <c r="IW38" s="102"/>
      <c r="IX38" s="102"/>
      <c r="IY38" s="102"/>
      <c r="IZ38" s="102"/>
      <c r="JA38" s="102"/>
      <c r="JB38" s="102"/>
      <c r="JC38" s="102"/>
      <c r="JD38" s="102"/>
      <c r="JE38" s="102"/>
      <c r="JF38" s="102"/>
      <c r="JG38" s="102"/>
      <c r="JH38" s="102"/>
      <c r="JI38" s="102"/>
      <c r="JJ38" s="102"/>
      <c r="JK38" s="102"/>
      <c r="JL38" s="102"/>
      <c r="JM38" s="102"/>
      <c r="JN38" s="102"/>
      <c r="JO38" s="102"/>
      <c r="JP38" s="102"/>
      <c r="JQ38" s="102"/>
      <c r="JR38" s="102"/>
      <c r="JS38" s="102"/>
      <c r="JT38" s="102"/>
      <c r="JU38" s="102"/>
      <c r="JV38" s="102"/>
      <c r="JW38" s="102"/>
      <c r="JX38" s="102"/>
      <c r="JY38" s="102"/>
      <c r="JZ38" s="102"/>
      <c r="KA38" s="102"/>
      <c r="KB38" s="102"/>
      <c r="KC38" s="102"/>
      <c r="KD38" s="102"/>
      <c r="KE38" s="102"/>
      <c r="KF38" s="102"/>
      <c r="KG38" s="102"/>
      <c r="KH38" s="102"/>
      <c r="KI38" s="102"/>
      <c r="KJ38" s="102"/>
      <c r="KK38" s="102"/>
      <c r="KL38" s="102"/>
      <c r="KM38" s="102"/>
      <c r="KN38" s="102"/>
      <c r="KO38" s="102"/>
      <c r="KP38" s="102"/>
      <c r="KQ38" s="102"/>
      <c r="KR38" s="102"/>
      <c r="KS38" s="102"/>
      <c r="KT38" s="102"/>
      <c r="KU38" s="102"/>
      <c r="KV38" s="102"/>
      <c r="KW38" s="102"/>
      <c r="KX38" s="102"/>
      <c r="KY38" s="102"/>
      <c r="KZ38" s="102"/>
      <c r="LA38" s="102"/>
      <c r="LB38" s="102"/>
      <c r="LC38" s="102"/>
      <c r="LD38" s="102"/>
      <c r="LE38" s="102"/>
      <c r="LF38" s="102"/>
      <c r="LG38" s="102"/>
      <c r="LH38" s="102"/>
      <c r="LI38" s="102"/>
      <c r="LJ38" s="102"/>
      <c r="LK38" s="102"/>
      <c r="LL38" s="102"/>
      <c r="LM38" s="102"/>
      <c r="LN38" s="102"/>
      <c r="LO38" s="102"/>
      <c r="LP38" s="102"/>
      <c r="LQ38" s="102"/>
      <c r="LR38" s="102"/>
      <c r="LS38" s="102"/>
      <c r="LT38" s="102"/>
      <c r="LU38" s="102"/>
      <c r="LV38" s="102"/>
      <c r="LW38" s="102"/>
      <c r="LX38" s="102"/>
      <c r="LY38" s="102"/>
    </row>
    <row r="39" ht="15" customHeight="1">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c r="EO39" s="102"/>
      <c r="EP39" s="102"/>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2"/>
      <c r="FN39" s="102"/>
      <c r="FO39" s="102"/>
      <c r="FP39" s="102"/>
      <c r="FQ39" s="102"/>
      <c r="FR39" s="102"/>
      <c r="FS39" s="102"/>
      <c r="FT39" s="102"/>
      <c r="FU39" s="102"/>
      <c r="FV39" s="102"/>
      <c r="FW39" s="102"/>
      <c r="FX39" s="102"/>
      <c r="FY39" s="102"/>
      <c r="FZ39" s="102"/>
      <c r="GA39" s="102"/>
      <c r="GB39" s="102"/>
      <c r="GC39" s="102"/>
      <c r="GD39" s="102"/>
      <c r="GE39" s="102"/>
      <c r="GF39" s="102"/>
      <c r="GG39" s="102"/>
      <c r="GH39" s="102"/>
      <c r="GI39" s="102"/>
      <c r="GJ39" s="102"/>
      <c r="GK39" s="102"/>
      <c r="GL39" s="102"/>
      <c r="GM39" s="102"/>
      <c r="GN39" s="102"/>
      <c r="GO39" s="102"/>
      <c r="GP39" s="102"/>
      <c r="GQ39" s="102"/>
      <c r="GR39" s="102"/>
      <c r="GS39" s="102"/>
      <c r="GT39" s="102"/>
      <c r="GU39" s="102"/>
      <c r="GV39" s="102"/>
      <c r="GW39" s="102"/>
      <c r="GX39" s="102"/>
      <c r="GY39" s="102"/>
      <c r="GZ39" s="102"/>
      <c r="HA39" s="102"/>
      <c r="HB39" s="102"/>
      <c r="HC39" s="102"/>
      <c r="HD39" s="102"/>
      <c r="HE39" s="102"/>
      <c r="HF39" s="102"/>
      <c r="HG39" s="102"/>
      <c r="HH39" s="102"/>
      <c r="HI39" s="102"/>
      <c r="HJ39" s="102"/>
      <c r="HK39" s="102"/>
      <c r="HL39" s="102"/>
      <c r="HM39" s="102"/>
      <c r="HN39" s="102"/>
      <c r="HO39" s="102"/>
      <c r="HP39" s="102"/>
      <c r="HQ39" s="102"/>
      <c r="HR39" s="102"/>
      <c r="HS39" s="102"/>
      <c r="HT39" s="102"/>
      <c r="HU39" s="102"/>
      <c r="HV39" s="102"/>
      <c r="HW39" s="102"/>
      <c r="HX39" s="102"/>
      <c r="HY39" s="102"/>
      <c r="HZ39" s="102"/>
      <c r="IA39" s="102"/>
      <c r="IB39" s="102"/>
      <c r="IC39" s="102"/>
      <c r="ID39" s="102"/>
      <c r="IE39" s="102"/>
      <c r="IF39" s="102"/>
      <c r="IG39" s="102"/>
      <c r="IH39" s="102"/>
      <c r="II39" s="102"/>
      <c r="IJ39" s="102"/>
      <c r="IK39" s="102"/>
      <c r="IL39" s="102"/>
      <c r="IM39" s="102"/>
      <c r="IN39" s="102"/>
      <c r="IO39" s="102"/>
      <c r="IP39" s="102"/>
      <c r="IQ39" s="102"/>
      <c r="IR39" s="102"/>
      <c r="IS39" s="102"/>
      <c r="IT39" s="102"/>
      <c r="IU39" s="102"/>
      <c r="IV39" s="102"/>
      <c r="IW39" s="102"/>
      <c r="IX39" s="102"/>
      <c r="IY39" s="102"/>
      <c r="IZ39" s="102"/>
      <c r="JA39" s="102"/>
      <c r="JB39" s="102"/>
      <c r="JC39" s="102"/>
      <c r="JD39" s="102"/>
      <c r="JE39" s="102"/>
      <c r="JF39" s="102"/>
      <c r="JG39" s="102"/>
      <c r="JH39" s="102"/>
      <c r="JI39" s="102"/>
      <c r="JJ39" s="102"/>
      <c r="JK39" s="102"/>
      <c r="JL39" s="102"/>
      <c r="JM39" s="102"/>
      <c r="JN39" s="102"/>
      <c r="JO39" s="102"/>
      <c r="JP39" s="102"/>
      <c r="JQ39" s="102"/>
      <c r="JR39" s="102"/>
      <c r="JS39" s="102"/>
      <c r="JT39" s="102"/>
      <c r="JU39" s="102"/>
      <c r="JV39" s="102"/>
      <c r="JW39" s="102"/>
      <c r="JX39" s="102"/>
      <c r="JY39" s="102"/>
      <c r="JZ39" s="102"/>
      <c r="KA39" s="102"/>
      <c r="KB39" s="102"/>
      <c r="KC39" s="102"/>
      <c r="KD39" s="102"/>
      <c r="KE39" s="102"/>
      <c r="KF39" s="102"/>
      <c r="KG39" s="102"/>
      <c r="KH39" s="102"/>
      <c r="KI39" s="102"/>
      <c r="KJ39" s="102"/>
      <c r="KK39" s="102"/>
      <c r="KL39" s="102"/>
      <c r="KM39" s="102"/>
      <c r="KN39" s="102"/>
      <c r="KO39" s="102"/>
      <c r="KP39" s="102"/>
      <c r="KQ39" s="102"/>
      <c r="KR39" s="102"/>
      <c r="KS39" s="102"/>
      <c r="KT39" s="102"/>
      <c r="KU39" s="102"/>
      <c r="KV39" s="102"/>
      <c r="KW39" s="102"/>
      <c r="KX39" s="102"/>
      <c r="KY39" s="102"/>
      <c r="KZ39" s="102"/>
      <c r="LA39" s="102"/>
      <c r="LB39" s="102"/>
      <c r="LC39" s="102"/>
      <c r="LD39" s="102"/>
      <c r="LE39" s="102"/>
      <c r="LF39" s="102"/>
      <c r="LG39" s="102"/>
      <c r="LH39" s="102"/>
      <c r="LI39" s="102"/>
      <c r="LJ39" s="102"/>
      <c r="LK39" s="102"/>
      <c r="LL39" s="102"/>
      <c r="LM39" s="102"/>
      <c r="LN39" s="102"/>
      <c r="LO39" s="102"/>
      <c r="LP39" s="102"/>
      <c r="LQ39" s="102"/>
      <c r="LR39" s="102"/>
      <c r="LS39" s="102"/>
      <c r="LT39" s="102"/>
      <c r="LU39" s="102"/>
      <c r="LV39" s="102"/>
      <c r="LW39" s="102"/>
      <c r="LX39" s="102"/>
      <c r="LY39" s="102"/>
    </row>
    <row r="40" ht="15" customHeight="1">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2"/>
      <c r="FO40" s="102"/>
      <c r="FP40" s="102"/>
      <c r="FQ40" s="102"/>
      <c r="FR40" s="102"/>
      <c r="FS40" s="102"/>
      <c r="FT40" s="102"/>
      <c r="FU40" s="102"/>
      <c r="FV40" s="102"/>
      <c r="FW40" s="102"/>
      <c r="FX40" s="102"/>
      <c r="FY40" s="102"/>
      <c r="FZ40" s="102"/>
      <c r="GA40" s="102"/>
      <c r="GB40" s="102"/>
      <c r="GC40" s="102"/>
      <c r="GD40" s="102"/>
      <c r="GE40" s="102"/>
      <c r="GF40" s="102"/>
      <c r="GG40" s="102"/>
      <c r="GH40" s="102"/>
      <c r="GI40" s="102"/>
      <c r="GJ40" s="102"/>
      <c r="GK40" s="102"/>
      <c r="GL40" s="102"/>
      <c r="GM40" s="102"/>
      <c r="GN40" s="102"/>
      <c r="GO40" s="102"/>
      <c r="GP40" s="102"/>
      <c r="GQ40" s="102"/>
      <c r="GR40" s="102"/>
      <c r="GS40" s="102"/>
      <c r="GT40" s="102"/>
      <c r="GU40" s="102"/>
      <c r="GV40" s="102"/>
      <c r="GW40" s="102"/>
      <c r="GX40" s="102"/>
      <c r="GY40" s="102"/>
      <c r="GZ40" s="102"/>
      <c r="HA40" s="102"/>
      <c r="HB40" s="102"/>
      <c r="HC40" s="102"/>
      <c r="HD40" s="102"/>
      <c r="HE40" s="102"/>
      <c r="HF40" s="102"/>
      <c r="HG40" s="102"/>
      <c r="HH40" s="102"/>
      <c r="HI40" s="102"/>
      <c r="HJ40" s="102"/>
      <c r="HK40" s="102"/>
      <c r="HL40" s="102"/>
      <c r="HM40" s="102"/>
      <c r="HN40" s="102"/>
      <c r="HO40" s="102"/>
      <c r="HP40" s="102"/>
      <c r="HQ40" s="102"/>
      <c r="HR40" s="102"/>
      <c r="HS40" s="102"/>
      <c r="HT40" s="102"/>
      <c r="HU40" s="102"/>
      <c r="HV40" s="102"/>
      <c r="HW40" s="102"/>
      <c r="HX40" s="102"/>
      <c r="HY40" s="102"/>
      <c r="HZ40" s="102"/>
      <c r="IA40" s="102"/>
      <c r="IB40" s="102"/>
      <c r="IC40" s="102"/>
      <c r="ID40" s="102"/>
      <c r="IE40" s="102"/>
      <c r="IF40" s="102"/>
      <c r="IG40" s="102"/>
      <c r="IH40" s="102"/>
      <c r="II40" s="102"/>
      <c r="IJ40" s="102"/>
      <c r="IK40" s="102"/>
      <c r="IL40" s="102"/>
      <c r="IM40" s="102"/>
      <c r="IN40" s="102"/>
      <c r="IO40" s="102"/>
      <c r="IP40" s="102"/>
      <c r="IQ40" s="102"/>
      <c r="IR40" s="102"/>
      <c r="IS40" s="102"/>
      <c r="IT40" s="102"/>
      <c r="IU40" s="102"/>
      <c r="IV40" s="102"/>
      <c r="IW40" s="102"/>
      <c r="IX40" s="102"/>
      <c r="IY40" s="102"/>
      <c r="IZ40" s="102"/>
      <c r="JA40" s="102"/>
      <c r="JB40" s="102"/>
      <c r="JC40" s="102"/>
      <c r="JD40" s="102"/>
      <c r="JE40" s="102"/>
      <c r="JF40" s="102"/>
      <c r="JG40" s="102"/>
      <c r="JH40" s="102"/>
      <c r="JI40" s="102"/>
      <c r="JJ40" s="102"/>
      <c r="JK40" s="102"/>
      <c r="JL40" s="102"/>
      <c r="JM40" s="102"/>
      <c r="JN40" s="102"/>
      <c r="JO40" s="102"/>
      <c r="JP40" s="102"/>
      <c r="JQ40" s="102"/>
      <c r="JR40" s="102"/>
      <c r="JS40" s="102"/>
      <c r="JT40" s="102"/>
      <c r="JU40" s="102"/>
      <c r="JV40" s="102"/>
      <c r="JW40" s="102"/>
      <c r="JX40" s="102"/>
      <c r="JY40" s="102"/>
      <c r="JZ40" s="102"/>
      <c r="KA40" s="102"/>
      <c r="KB40" s="102"/>
      <c r="KC40" s="102"/>
      <c r="KD40" s="102"/>
      <c r="KE40" s="102"/>
      <c r="KF40" s="102"/>
      <c r="KG40" s="102"/>
      <c r="KH40" s="102"/>
      <c r="KI40" s="102"/>
      <c r="KJ40" s="102"/>
      <c r="KK40" s="102"/>
      <c r="KL40" s="102"/>
      <c r="KM40" s="102"/>
      <c r="KN40" s="102"/>
      <c r="KO40" s="102"/>
      <c r="KP40" s="102"/>
      <c r="KQ40" s="102"/>
      <c r="KR40" s="102"/>
      <c r="KS40" s="102"/>
      <c r="KT40" s="102"/>
      <c r="KU40" s="102"/>
      <c r="KV40" s="102"/>
      <c r="KW40" s="102"/>
      <c r="KX40" s="102"/>
      <c r="KY40" s="102"/>
      <c r="KZ40" s="102"/>
      <c r="LA40" s="102"/>
      <c r="LB40" s="102"/>
      <c r="LC40" s="102"/>
      <c r="LD40" s="102"/>
      <c r="LE40" s="102"/>
      <c r="LF40" s="102"/>
      <c r="LG40" s="102"/>
      <c r="LH40" s="102"/>
      <c r="LI40" s="102"/>
      <c r="LJ40" s="102"/>
      <c r="LK40" s="102"/>
      <c r="LL40" s="102"/>
      <c r="LM40" s="102"/>
      <c r="LN40" s="102"/>
      <c r="LO40" s="102"/>
      <c r="LP40" s="102"/>
      <c r="LQ40" s="102"/>
      <c r="LR40" s="102"/>
      <c r="LS40" s="102"/>
      <c r="LT40" s="102"/>
      <c r="LU40" s="102"/>
      <c r="LV40" s="102"/>
      <c r="LW40" s="102"/>
      <c r="LX40" s="102"/>
      <c r="LY40" s="102"/>
    </row>
    <row r="41" ht="15" customHeight="1">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c r="EO41" s="102"/>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2"/>
      <c r="FN41" s="102"/>
      <c r="FO41" s="102"/>
      <c r="FP41" s="102"/>
      <c r="FQ41" s="102"/>
      <c r="FR41" s="102"/>
      <c r="FS41" s="102"/>
      <c r="FT41" s="102"/>
      <c r="FU41" s="102"/>
      <c r="FV41" s="102"/>
      <c r="FW41" s="102"/>
      <c r="FX41" s="102"/>
      <c r="FY41" s="102"/>
      <c r="FZ41" s="102"/>
      <c r="GA41" s="102"/>
      <c r="GB41" s="102"/>
      <c r="GC41" s="102"/>
      <c r="GD41" s="102"/>
      <c r="GE41" s="102"/>
      <c r="GF41" s="102"/>
      <c r="GG41" s="102"/>
      <c r="GH41" s="102"/>
      <c r="GI41" s="102"/>
      <c r="GJ41" s="102"/>
      <c r="GK41" s="102"/>
      <c r="GL41" s="102"/>
      <c r="GM41" s="102"/>
      <c r="GN41" s="102"/>
      <c r="GO41" s="102"/>
      <c r="GP41" s="102"/>
      <c r="GQ41" s="102"/>
      <c r="GR41" s="102"/>
      <c r="GS41" s="102"/>
      <c r="GT41" s="102"/>
      <c r="GU41" s="102"/>
      <c r="GV41" s="102"/>
      <c r="GW41" s="102"/>
      <c r="GX41" s="102"/>
      <c r="GY41" s="102"/>
      <c r="GZ41" s="102"/>
      <c r="HA41" s="102"/>
      <c r="HB41" s="102"/>
      <c r="HC41" s="102"/>
      <c r="HD41" s="102"/>
      <c r="HE41" s="102"/>
      <c r="HF41" s="102"/>
      <c r="HG41" s="102"/>
      <c r="HH41" s="102"/>
      <c r="HI41" s="102"/>
      <c r="HJ41" s="102"/>
      <c r="HK41" s="102"/>
      <c r="HL41" s="102"/>
      <c r="HM41" s="102"/>
      <c r="HN41" s="102"/>
      <c r="HO41" s="102"/>
      <c r="HP41" s="102"/>
      <c r="HQ41" s="102"/>
      <c r="HR41" s="102"/>
      <c r="HS41" s="102"/>
      <c r="HT41" s="102"/>
      <c r="HU41" s="102"/>
      <c r="HV41" s="102"/>
      <c r="HW41" s="102"/>
      <c r="HX41" s="102"/>
      <c r="HY41" s="102"/>
      <c r="HZ41" s="102"/>
      <c r="IA41" s="102"/>
      <c r="IB41" s="102"/>
      <c r="IC41" s="102"/>
      <c r="ID41" s="102"/>
      <c r="IE41" s="102"/>
      <c r="IF41" s="102"/>
      <c r="IG41" s="102"/>
      <c r="IH41" s="102"/>
      <c r="II41" s="102"/>
      <c r="IJ41" s="102"/>
      <c r="IK41" s="102"/>
      <c r="IL41" s="102"/>
      <c r="IM41" s="102"/>
      <c r="IN41" s="102"/>
      <c r="IO41" s="102"/>
      <c r="IP41" s="102"/>
      <c r="IQ41" s="102"/>
      <c r="IR41" s="102"/>
      <c r="IS41" s="102"/>
      <c r="IT41" s="102"/>
      <c r="IU41" s="102"/>
      <c r="IV41" s="102"/>
      <c r="IW41" s="102"/>
      <c r="IX41" s="102"/>
      <c r="IY41" s="102"/>
      <c r="IZ41" s="102"/>
      <c r="JA41" s="102"/>
      <c r="JB41" s="102"/>
      <c r="JC41" s="102"/>
      <c r="JD41" s="102"/>
      <c r="JE41" s="102"/>
      <c r="JF41" s="102"/>
      <c r="JG41" s="102"/>
      <c r="JH41" s="102"/>
      <c r="JI41" s="102"/>
      <c r="JJ41" s="102"/>
      <c r="JK41" s="102"/>
      <c r="JL41" s="102"/>
      <c r="JM41" s="102"/>
      <c r="JN41" s="102"/>
      <c r="JO41" s="102"/>
      <c r="JP41" s="102"/>
      <c r="JQ41" s="102"/>
      <c r="JR41" s="102"/>
      <c r="JS41" s="102"/>
      <c r="JT41" s="102"/>
      <c r="JU41" s="102"/>
      <c r="JV41" s="102"/>
      <c r="JW41" s="102"/>
      <c r="JX41" s="102"/>
      <c r="JY41" s="102"/>
      <c r="JZ41" s="102"/>
      <c r="KA41" s="102"/>
      <c r="KB41" s="102"/>
      <c r="KC41" s="102"/>
      <c r="KD41" s="102"/>
      <c r="KE41" s="102"/>
      <c r="KF41" s="102"/>
      <c r="KG41" s="102"/>
      <c r="KH41" s="102"/>
      <c r="KI41" s="102"/>
      <c r="KJ41" s="102"/>
      <c r="KK41" s="102"/>
      <c r="KL41" s="102"/>
      <c r="KM41" s="102"/>
      <c r="KN41" s="102"/>
      <c r="KO41" s="102"/>
      <c r="KP41" s="102"/>
      <c r="KQ41" s="102"/>
      <c r="KR41" s="102"/>
      <c r="KS41" s="102"/>
      <c r="KT41" s="102"/>
      <c r="KU41" s="102"/>
      <c r="KV41" s="102"/>
      <c r="KW41" s="102"/>
      <c r="KX41" s="102"/>
      <c r="KY41" s="102"/>
      <c r="KZ41" s="102"/>
      <c r="LA41" s="102"/>
      <c r="LB41" s="102"/>
      <c r="LC41" s="102"/>
      <c r="LD41" s="102"/>
      <c r="LE41" s="102"/>
      <c r="LF41" s="102"/>
      <c r="LG41" s="102"/>
      <c r="LH41" s="102"/>
      <c r="LI41" s="102"/>
      <c r="LJ41" s="102"/>
      <c r="LK41" s="102"/>
      <c r="LL41" s="102"/>
      <c r="LM41" s="102"/>
      <c r="LN41" s="102"/>
      <c r="LO41" s="102"/>
      <c r="LP41" s="102"/>
      <c r="LQ41" s="102"/>
      <c r="LR41" s="102"/>
      <c r="LS41" s="102"/>
      <c r="LT41" s="102"/>
      <c r="LU41" s="102"/>
      <c r="LV41" s="102"/>
      <c r="LW41" s="102"/>
      <c r="LX41" s="102"/>
      <c r="LY41" s="102"/>
    </row>
    <row r="42" ht="15" customHeight="1">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c r="EO42" s="102"/>
      <c r="EP42" s="102"/>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2"/>
      <c r="FN42" s="102"/>
      <c r="FO42" s="102"/>
      <c r="FP42" s="102"/>
      <c r="FQ42" s="102"/>
      <c r="FR42" s="102"/>
      <c r="FS42" s="102"/>
      <c r="FT42" s="102"/>
      <c r="FU42" s="102"/>
      <c r="FV42" s="102"/>
      <c r="FW42" s="102"/>
      <c r="FX42" s="102"/>
      <c r="FY42" s="102"/>
      <c r="FZ42" s="102"/>
      <c r="GA42" s="102"/>
      <c r="GB42" s="102"/>
      <c r="GC42" s="102"/>
      <c r="GD42" s="102"/>
      <c r="GE42" s="102"/>
      <c r="GF42" s="102"/>
      <c r="GG42" s="102"/>
      <c r="GH42" s="102"/>
      <c r="GI42" s="102"/>
      <c r="GJ42" s="102"/>
      <c r="GK42" s="102"/>
      <c r="GL42" s="102"/>
      <c r="GM42" s="102"/>
      <c r="GN42" s="102"/>
      <c r="GO42" s="102"/>
      <c r="GP42" s="102"/>
      <c r="GQ42" s="102"/>
      <c r="GR42" s="102"/>
      <c r="GS42" s="102"/>
      <c r="GT42" s="102"/>
      <c r="GU42" s="102"/>
      <c r="GV42" s="102"/>
      <c r="GW42" s="102"/>
      <c r="GX42" s="102"/>
      <c r="GY42" s="102"/>
      <c r="GZ42" s="102"/>
      <c r="HA42" s="102"/>
      <c r="HB42" s="102"/>
      <c r="HC42" s="102"/>
      <c r="HD42" s="102"/>
      <c r="HE42" s="102"/>
      <c r="HF42" s="102"/>
      <c r="HG42" s="102"/>
      <c r="HH42" s="102"/>
      <c r="HI42" s="102"/>
      <c r="HJ42" s="102"/>
      <c r="HK42" s="102"/>
      <c r="HL42" s="102"/>
      <c r="HM42" s="102"/>
      <c r="HN42" s="102"/>
      <c r="HO42" s="102"/>
      <c r="HP42" s="102"/>
      <c r="HQ42" s="102"/>
      <c r="HR42" s="102"/>
      <c r="HS42" s="102"/>
      <c r="HT42" s="102"/>
      <c r="HU42" s="102"/>
      <c r="HV42" s="102"/>
      <c r="HW42" s="102"/>
      <c r="HX42" s="102"/>
      <c r="HY42" s="102"/>
      <c r="HZ42" s="102"/>
      <c r="IA42" s="102"/>
      <c r="IB42" s="102"/>
      <c r="IC42" s="102"/>
      <c r="ID42" s="102"/>
      <c r="IE42" s="102"/>
      <c r="IF42" s="102"/>
      <c r="IG42" s="102"/>
      <c r="IH42" s="102"/>
      <c r="II42" s="102"/>
      <c r="IJ42" s="102"/>
      <c r="IK42" s="102"/>
      <c r="IL42" s="102"/>
      <c r="IM42" s="102"/>
      <c r="IN42" s="102"/>
      <c r="IO42" s="102"/>
      <c r="IP42" s="102"/>
      <c r="IQ42" s="102"/>
      <c r="IR42" s="102"/>
      <c r="IS42" s="102"/>
      <c r="IT42" s="102"/>
      <c r="IU42" s="102"/>
      <c r="IV42" s="102"/>
      <c r="IW42" s="102"/>
      <c r="IX42" s="102"/>
      <c r="IY42" s="102"/>
      <c r="IZ42" s="102"/>
      <c r="JA42" s="102"/>
      <c r="JB42" s="102"/>
      <c r="JC42" s="102"/>
      <c r="JD42" s="102"/>
      <c r="JE42" s="102"/>
      <c r="JF42" s="102"/>
      <c r="JG42" s="102"/>
      <c r="JH42" s="102"/>
      <c r="JI42" s="102"/>
      <c r="JJ42" s="102"/>
      <c r="JK42" s="102"/>
      <c r="JL42" s="102"/>
      <c r="JM42" s="102"/>
      <c r="JN42" s="102"/>
      <c r="JO42" s="102"/>
      <c r="JP42" s="102"/>
      <c r="JQ42" s="102"/>
      <c r="JR42" s="102"/>
      <c r="JS42" s="102"/>
      <c r="JT42" s="102"/>
      <c r="JU42" s="102"/>
      <c r="JV42" s="102"/>
      <c r="JW42" s="102"/>
      <c r="JX42" s="102"/>
      <c r="JY42" s="102"/>
      <c r="JZ42" s="102"/>
      <c r="KA42" s="102"/>
      <c r="KB42" s="102"/>
      <c r="KC42" s="102"/>
      <c r="KD42" s="102"/>
      <c r="KE42" s="102"/>
      <c r="KF42" s="102"/>
      <c r="KG42" s="102"/>
      <c r="KH42" s="102"/>
      <c r="KI42" s="102"/>
      <c r="KJ42" s="102"/>
      <c r="KK42" s="102"/>
      <c r="KL42" s="102"/>
      <c r="KM42" s="102"/>
      <c r="KN42" s="102"/>
      <c r="KO42" s="102"/>
      <c r="KP42" s="102"/>
      <c r="KQ42" s="102"/>
      <c r="KR42" s="102"/>
      <c r="KS42" s="102"/>
      <c r="KT42" s="102"/>
      <c r="KU42" s="102"/>
      <c r="KV42" s="102"/>
      <c r="KW42" s="102"/>
      <c r="KX42" s="102"/>
      <c r="KY42" s="102"/>
      <c r="KZ42" s="102"/>
      <c r="LA42" s="102"/>
      <c r="LB42" s="102"/>
      <c r="LC42" s="102"/>
      <c r="LD42" s="102"/>
      <c r="LE42" s="102"/>
      <c r="LF42" s="102"/>
      <c r="LG42" s="102"/>
      <c r="LH42" s="102"/>
      <c r="LI42" s="102"/>
      <c r="LJ42" s="102"/>
      <c r="LK42" s="102"/>
      <c r="LL42" s="102"/>
      <c r="LM42" s="102"/>
      <c r="LN42" s="102"/>
      <c r="LO42" s="102"/>
      <c r="LP42" s="102"/>
      <c r="LQ42" s="102"/>
      <c r="LR42" s="102"/>
      <c r="LS42" s="102"/>
      <c r="LT42" s="102"/>
      <c r="LU42" s="102"/>
      <c r="LV42" s="102"/>
      <c r="LW42" s="102"/>
      <c r="LX42" s="102"/>
      <c r="LY42" s="102"/>
    </row>
    <row r="43" ht="15" customHeight="1">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c r="EO43" s="102"/>
      <c r="EP43" s="102"/>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2"/>
      <c r="FN43" s="102"/>
      <c r="FO43" s="102"/>
      <c r="FP43" s="102"/>
      <c r="FQ43" s="102"/>
      <c r="FR43" s="102"/>
      <c r="FS43" s="102"/>
      <c r="FT43" s="102"/>
      <c r="FU43" s="102"/>
      <c r="FV43" s="102"/>
      <c r="FW43" s="102"/>
      <c r="FX43" s="102"/>
      <c r="FY43" s="102"/>
      <c r="FZ43" s="102"/>
      <c r="GA43" s="102"/>
      <c r="GB43" s="102"/>
      <c r="GC43" s="102"/>
      <c r="GD43" s="102"/>
      <c r="GE43" s="102"/>
      <c r="GF43" s="102"/>
      <c r="GG43" s="102"/>
      <c r="GH43" s="102"/>
      <c r="GI43" s="102"/>
      <c r="GJ43" s="102"/>
      <c r="GK43" s="102"/>
      <c r="GL43" s="102"/>
      <c r="GM43" s="102"/>
      <c r="GN43" s="102"/>
      <c r="GO43" s="102"/>
      <c r="GP43" s="102"/>
      <c r="GQ43" s="102"/>
      <c r="GR43" s="102"/>
      <c r="GS43" s="102"/>
      <c r="GT43" s="102"/>
      <c r="GU43" s="102"/>
      <c r="GV43" s="102"/>
      <c r="GW43" s="102"/>
      <c r="GX43" s="102"/>
      <c r="GY43" s="102"/>
      <c r="GZ43" s="102"/>
      <c r="HA43" s="102"/>
      <c r="HB43" s="102"/>
      <c r="HC43" s="102"/>
      <c r="HD43" s="102"/>
      <c r="HE43" s="102"/>
      <c r="HF43" s="102"/>
      <c r="HG43" s="102"/>
      <c r="HH43" s="102"/>
      <c r="HI43" s="102"/>
      <c r="HJ43" s="102"/>
      <c r="HK43" s="102"/>
      <c r="HL43" s="102"/>
      <c r="HM43" s="102"/>
      <c r="HN43" s="102"/>
      <c r="HO43" s="102"/>
      <c r="HP43" s="102"/>
      <c r="HQ43" s="102"/>
      <c r="HR43" s="102"/>
      <c r="HS43" s="102"/>
      <c r="HT43" s="102"/>
      <c r="HU43" s="102"/>
      <c r="HV43" s="102"/>
      <c r="HW43" s="102"/>
      <c r="HX43" s="102"/>
      <c r="HY43" s="102"/>
      <c r="HZ43" s="102"/>
      <c r="IA43" s="102"/>
      <c r="IB43" s="102"/>
      <c r="IC43" s="102"/>
      <c r="ID43" s="102"/>
      <c r="IE43" s="102"/>
      <c r="IF43" s="102"/>
      <c r="IG43" s="102"/>
      <c r="IH43" s="102"/>
      <c r="II43" s="102"/>
      <c r="IJ43" s="102"/>
      <c r="IK43" s="102"/>
      <c r="IL43" s="102"/>
      <c r="IM43" s="102"/>
      <c r="IN43" s="102"/>
      <c r="IO43" s="102"/>
      <c r="IP43" s="102"/>
      <c r="IQ43" s="102"/>
      <c r="IR43" s="102"/>
      <c r="IS43" s="102"/>
      <c r="IT43" s="102"/>
      <c r="IU43" s="102"/>
      <c r="IV43" s="102"/>
      <c r="IW43" s="102"/>
      <c r="IX43" s="102"/>
      <c r="IY43" s="102"/>
      <c r="IZ43" s="102"/>
      <c r="JA43" s="102"/>
      <c r="JB43" s="102"/>
      <c r="JC43" s="102"/>
      <c r="JD43" s="102"/>
      <c r="JE43" s="102"/>
      <c r="JF43" s="102"/>
      <c r="JG43" s="102"/>
      <c r="JH43" s="102"/>
      <c r="JI43" s="102"/>
      <c r="JJ43" s="102"/>
      <c r="JK43" s="102"/>
      <c r="JL43" s="102"/>
      <c r="JM43" s="102"/>
      <c r="JN43" s="102"/>
      <c r="JO43" s="102"/>
      <c r="JP43" s="102"/>
      <c r="JQ43" s="102"/>
      <c r="JR43" s="102"/>
      <c r="JS43" s="102"/>
      <c r="JT43" s="102"/>
      <c r="JU43" s="102"/>
      <c r="JV43" s="102"/>
      <c r="JW43" s="102"/>
      <c r="JX43" s="102"/>
      <c r="JY43" s="102"/>
      <c r="JZ43" s="102"/>
      <c r="KA43" s="102"/>
      <c r="KB43" s="102"/>
      <c r="KC43" s="102"/>
      <c r="KD43" s="102"/>
      <c r="KE43" s="102"/>
      <c r="KF43" s="102"/>
      <c r="KG43" s="102"/>
      <c r="KH43" s="102"/>
      <c r="KI43" s="102"/>
      <c r="KJ43" s="102"/>
      <c r="KK43" s="102"/>
      <c r="KL43" s="102"/>
      <c r="KM43" s="102"/>
      <c r="KN43" s="102"/>
      <c r="KO43" s="102"/>
      <c r="KP43" s="102"/>
      <c r="KQ43" s="102"/>
      <c r="KR43" s="102"/>
      <c r="KS43" s="102"/>
      <c r="KT43" s="102"/>
      <c r="KU43" s="102"/>
      <c r="KV43" s="102"/>
      <c r="KW43" s="102"/>
      <c r="KX43" s="102"/>
      <c r="KY43" s="102"/>
      <c r="KZ43" s="102"/>
      <c r="LA43" s="102"/>
      <c r="LB43" s="102"/>
      <c r="LC43" s="102"/>
      <c r="LD43" s="102"/>
      <c r="LE43" s="102"/>
      <c r="LF43" s="102"/>
      <c r="LG43" s="102"/>
      <c r="LH43" s="102"/>
      <c r="LI43" s="102"/>
      <c r="LJ43" s="102"/>
      <c r="LK43" s="102"/>
      <c r="LL43" s="102"/>
      <c r="LM43" s="102"/>
      <c r="LN43" s="102"/>
      <c r="LO43" s="102"/>
      <c r="LP43" s="102"/>
      <c r="LQ43" s="102"/>
      <c r="LR43" s="102"/>
      <c r="LS43" s="102"/>
      <c r="LT43" s="102"/>
      <c r="LU43" s="102"/>
      <c r="LV43" s="102"/>
      <c r="LW43" s="102"/>
      <c r="LX43" s="102"/>
      <c r="LY43" s="102"/>
    </row>
    <row r="44" ht="15" customHeight="1">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c r="DT44" s="102"/>
      <c r="DU44" s="102"/>
      <c r="DV44" s="102"/>
      <c r="DW44" s="102"/>
      <c r="DX44" s="102"/>
      <c r="DY44" s="102"/>
      <c r="DZ44" s="102"/>
      <c r="EA44" s="102"/>
      <c r="EB44" s="102"/>
      <c r="EC44" s="102"/>
      <c r="ED44" s="102"/>
      <c r="EE44" s="102"/>
      <c r="EF44" s="102"/>
      <c r="EG44" s="102"/>
      <c r="EH44" s="102"/>
      <c r="EI44" s="102"/>
      <c r="EJ44" s="102"/>
      <c r="EK44" s="102"/>
      <c r="EL44" s="102"/>
      <c r="EM44" s="102"/>
      <c r="EN44" s="102"/>
      <c r="EO44" s="102"/>
      <c r="EP44" s="102"/>
      <c r="EQ44" s="102"/>
      <c r="ER44" s="102"/>
      <c r="ES44" s="102"/>
      <c r="ET44" s="102"/>
      <c r="EU44" s="102"/>
      <c r="EV44" s="102"/>
      <c r="EW44" s="102"/>
      <c r="EX44" s="102"/>
      <c r="EY44" s="102"/>
      <c r="EZ44" s="102"/>
      <c r="FA44" s="102"/>
      <c r="FB44" s="102"/>
      <c r="FC44" s="102"/>
      <c r="FD44" s="102"/>
      <c r="FE44" s="102"/>
      <c r="FF44" s="102"/>
      <c r="FG44" s="102"/>
      <c r="FH44" s="102"/>
      <c r="FI44" s="102"/>
      <c r="FJ44" s="102"/>
      <c r="FK44" s="102"/>
      <c r="FL44" s="102"/>
      <c r="FM44" s="102"/>
      <c r="FN44" s="102"/>
      <c r="FO44" s="102"/>
      <c r="FP44" s="102"/>
      <c r="FQ44" s="102"/>
      <c r="FR44" s="102"/>
      <c r="FS44" s="102"/>
      <c r="FT44" s="102"/>
      <c r="FU44" s="102"/>
      <c r="FV44" s="102"/>
      <c r="FW44" s="102"/>
      <c r="FX44" s="102"/>
      <c r="FY44" s="102"/>
      <c r="FZ44" s="102"/>
      <c r="GA44" s="102"/>
      <c r="GB44" s="102"/>
      <c r="GC44" s="102"/>
      <c r="GD44" s="102"/>
      <c r="GE44" s="102"/>
      <c r="GF44" s="102"/>
      <c r="GG44" s="102"/>
      <c r="GH44" s="102"/>
      <c r="GI44" s="102"/>
      <c r="GJ44" s="102"/>
      <c r="GK44" s="102"/>
      <c r="GL44" s="102"/>
      <c r="GM44" s="102"/>
      <c r="GN44" s="102"/>
      <c r="GO44" s="102"/>
      <c r="GP44" s="102"/>
      <c r="GQ44" s="102"/>
      <c r="GR44" s="102"/>
      <c r="GS44" s="102"/>
      <c r="GT44" s="102"/>
      <c r="GU44" s="102"/>
      <c r="GV44" s="102"/>
      <c r="GW44" s="102"/>
      <c r="GX44" s="102"/>
      <c r="GY44" s="102"/>
      <c r="GZ44" s="102"/>
      <c r="HA44" s="102"/>
      <c r="HB44" s="102"/>
      <c r="HC44" s="102"/>
      <c r="HD44" s="102"/>
      <c r="HE44" s="102"/>
      <c r="HF44" s="102"/>
      <c r="HG44" s="102"/>
      <c r="HH44" s="102"/>
      <c r="HI44" s="102"/>
      <c r="HJ44" s="102"/>
      <c r="HK44" s="102"/>
      <c r="HL44" s="102"/>
      <c r="HM44" s="102"/>
      <c r="HN44" s="102"/>
      <c r="HO44" s="102"/>
      <c r="HP44" s="102"/>
      <c r="HQ44" s="102"/>
      <c r="HR44" s="102"/>
      <c r="HS44" s="102"/>
      <c r="HT44" s="102"/>
      <c r="HU44" s="102"/>
      <c r="HV44" s="102"/>
      <c r="HW44" s="102"/>
      <c r="HX44" s="102"/>
      <c r="HY44" s="102"/>
      <c r="HZ44" s="102"/>
      <c r="IA44" s="102"/>
      <c r="IB44" s="102"/>
      <c r="IC44" s="102"/>
      <c r="ID44" s="102"/>
      <c r="IE44" s="102"/>
      <c r="IF44" s="102"/>
      <c r="IG44" s="102"/>
      <c r="IH44" s="102"/>
      <c r="II44" s="102"/>
      <c r="IJ44" s="102"/>
      <c r="IK44" s="102"/>
      <c r="IL44" s="102"/>
      <c r="IM44" s="102"/>
      <c r="IN44" s="102"/>
      <c r="IO44" s="102"/>
      <c r="IP44" s="102"/>
      <c r="IQ44" s="102"/>
      <c r="IR44" s="102"/>
      <c r="IS44" s="102"/>
      <c r="IT44" s="102"/>
      <c r="IU44" s="102"/>
      <c r="IV44" s="102"/>
      <c r="IW44" s="102"/>
      <c r="IX44" s="102"/>
      <c r="IY44" s="102"/>
      <c r="IZ44" s="102"/>
      <c r="JA44" s="102"/>
      <c r="JB44" s="102"/>
      <c r="JC44" s="102"/>
      <c r="JD44" s="102"/>
      <c r="JE44" s="102"/>
      <c r="JF44" s="102"/>
      <c r="JG44" s="102"/>
      <c r="JH44" s="102"/>
      <c r="JI44" s="102"/>
      <c r="JJ44" s="102"/>
      <c r="JK44" s="102"/>
      <c r="JL44" s="102"/>
      <c r="JM44" s="102"/>
      <c r="JN44" s="102"/>
      <c r="JO44" s="102"/>
      <c r="JP44" s="102"/>
      <c r="JQ44" s="102"/>
      <c r="JR44" s="102"/>
      <c r="JS44" s="102"/>
      <c r="JT44" s="102"/>
      <c r="JU44" s="102"/>
      <c r="JV44" s="102"/>
      <c r="JW44" s="102"/>
      <c r="JX44" s="102"/>
      <c r="JY44" s="102"/>
      <c r="JZ44" s="102"/>
      <c r="KA44" s="102"/>
      <c r="KB44" s="102"/>
      <c r="KC44" s="102"/>
      <c r="KD44" s="102"/>
      <c r="KE44" s="102"/>
      <c r="KF44" s="102"/>
      <c r="KG44" s="102"/>
      <c r="KH44" s="102"/>
      <c r="KI44" s="102"/>
      <c r="KJ44" s="102"/>
      <c r="KK44" s="102"/>
      <c r="KL44" s="102"/>
      <c r="KM44" s="102"/>
      <c r="KN44" s="102"/>
      <c r="KO44" s="102"/>
      <c r="KP44" s="102"/>
      <c r="KQ44" s="102"/>
      <c r="KR44" s="102"/>
      <c r="KS44" s="102"/>
      <c r="KT44" s="102"/>
      <c r="KU44" s="102"/>
      <c r="KV44" s="102"/>
      <c r="KW44" s="102"/>
      <c r="KX44" s="102"/>
      <c r="KY44" s="102"/>
      <c r="KZ44" s="102"/>
      <c r="LA44" s="102"/>
      <c r="LB44" s="102"/>
      <c r="LC44" s="102"/>
      <c r="LD44" s="102"/>
      <c r="LE44" s="102"/>
      <c r="LF44" s="102"/>
      <c r="LG44" s="102"/>
      <c r="LH44" s="102"/>
      <c r="LI44" s="102"/>
      <c r="LJ44" s="102"/>
      <c r="LK44" s="102"/>
      <c r="LL44" s="102"/>
      <c r="LM44" s="102"/>
      <c r="LN44" s="102"/>
      <c r="LO44" s="102"/>
      <c r="LP44" s="102"/>
      <c r="LQ44" s="102"/>
      <c r="LR44" s="102"/>
      <c r="LS44" s="102"/>
      <c r="LT44" s="102"/>
      <c r="LU44" s="102"/>
      <c r="LV44" s="102"/>
      <c r="LW44" s="102"/>
      <c r="LX44" s="102"/>
      <c r="LY44" s="102"/>
    </row>
    <row r="45" ht="15" customHeight="1">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c r="DT45" s="102"/>
      <c r="DU45" s="102"/>
      <c r="DV45" s="102"/>
      <c r="DW45" s="102"/>
      <c r="DX45" s="102"/>
      <c r="DY45" s="102"/>
      <c r="DZ45" s="102"/>
      <c r="EA45" s="102"/>
      <c r="EB45" s="102"/>
      <c r="EC45" s="102"/>
      <c r="ED45" s="102"/>
      <c r="EE45" s="102"/>
      <c r="EF45" s="102"/>
      <c r="EG45" s="102"/>
      <c r="EH45" s="102"/>
      <c r="EI45" s="102"/>
      <c r="EJ45" s="102"/>
      <c r="EK45" s="102"/>
      <c r="EL45" s="102"/>
      <c r="EM45" s="102"/>
      <c r="EN45" s="102"/>
      <c r="EO45" s="102"/>
      <c r="EP45" s="102"/>
      <c r="EQ45" s="102"/>
      <c r="ER45" s="102"/>
      <c r="ES45" s="102"/>
      <c r="ET45" s="102"/>
      <c r="EU45" s="102"/>
      <c r="EV45" s="102"/>
      <c r="EW45" s="102"/>
      <c r="EX45" s="102"/>
      <c r="EY45" s="102"/>
      <c r="EZ45" s="102"/>
      <c r="FA45" s="102"/>
      <c r="FB45" s="102"/>
      <c r="FC45" s="102"/>
      <c r="FD45" s="102"/>
      <c r="FE45" s="102"/>
      <c r="FF45" s="102"/>
      <c r="FG45" s="102"/>
      <c r="FH45" s="102"/>
      <c r="FI45" s="102"/>
      <c r="FJ45" s="102"/>
      <c r="FK45" s="102"/>
      <c r="FL45" s="102"/>
      <c r="FM45" s="102"/>
      <c r="FN45" s="102"/>
      <c r="FO45" s="102"/>
      <c r="FP45" s="102"/>
      <c r="FQ45" s="102"/>
      <c r="FR45" s="102"/>
      <c r="FS45" s="102"/>
      <c r="FT45" s="102"/>
      <c r="FU45" s="102"/>
      <c r="FV45" s="102"/>
      <c r="FW45" s="102"/>
      <c r="FX45" s="102"/>
      <c r="FY45" s="102"/>
      <c r="FZ45" s="102"/>
      <c r="GA45" s="102"/>
      <c r="GB45" s="102"/>
      <c r="GC45" s="102"/>
      <c r="GD45" s="102"/>
      <c r="GE45" s="102"/>
      <c r="GF45" s="102"/>
      <c r="GG45" s="102"/>
      <c r="GH45" s="102"/>
      <c r="GI45" s="102"/>
      <c r="GJ45" s="102"/>
      <c r="GK45" s="102"/>
      <c r="GL45" s="102"/>
      <c r="GM45" s="102"/>
      <c r="GN45" s="102"/>
      <c r="GO45" s="102"/>
      <c r="GP45" s="102"/>
      <c r="GQ45" s="102"/>
      <c r="GR45" s="102"/>
      <c r="GS45" s="102"/>
      <c r="GT45" s="102"/>
      <c r="GU45" s="102"/>
      <c r="GV45" s="102"/>
      <c r="GW45" s="102"/>
      <c r="GX45" s="102"/>
      <c r="GY45" s="102"/>
      <c r="GZ45" s="102"/>
      <c r="HA45" s="102"/>
      <c r="HB45" s="102"/>
      <c r="HC45" s="102"/>
      <c r="HD45" s="102"/>
      <c r="HE45" s="102"/>
      <c r="HF45" s="102"/>
      <c r="HG45" s="102"/>
      <c r="HH45" s="102"/>
      <c r="HI45" s="102"/>
      <c r="HJ45" s="102"/>
      <c r="HK45" s="102"/>
      <c r="HL45" s="102"/>
      <c r="HM45" s="102"/>
      <c r="HN45" s="102"/>
      <c r="HO45" s="102"/>
      <c r="HP45" s="102"/>
      <c r="HQ45" s="102"/>
      <c r="HR45" s="102"/>
      <c r="HS45" s="102"/>
      <c r="HT45" s="102"/>
      <c r="HU45" s="102"/>
      <c r="HV45" s="102"/>
      <c r="HW45" s="102"/>
      <c r="HX45" s="102"/>
      <c r="HY45" s="102"/>
      <c r="HZ45" s="102"/>
      <c r="IA45" s="102"/>
      <c r="IB45" s="102"/>
      <c r="IC45" s="102"/>
      <c r="ID45" s="102"/>
      <c r="IE45" s="102"/>
      <c r="IF45" s="102"/>
      <c r="IG45" s="102"/>
      <c r="IH45" s="102"/>
      <c r="II45" s="102"/>
      <c r="IJ45" s="102"/>
      <c r="IK45" s="102"/>
      <c r="IL45" s="102"/>
      <c r="IM45" s="102"/>
      <c r="IN45" s="102"/>
      <c r="IO45" s="102"/>
      <c r="IP45" s="102"/>
      <c r="IQ45" s="102"/>
      <c r="IR45" s="102"/>
      <c r="IS45" s="102"/>
      <c r="IT45" s="102"/>
      <c r="IU45" s="102"/>
      <c r="IV45" s="102"/>
      <c r="IW45" s="102"/>
      <c r="IX45" s="102"/>
      <c r="IY45" s="102"/>
      <c r="IZ45" s="102"/>
      <c r="JA45" s="102"/>
      <c r="JB45" s="102"/>
      <c r="JC45" s="102"/>
      <c r="JD45" s="102"/>
      <c r="JE45" s="102"/>
      <c r="JF45" s="102"/>
      <c r="JG45" s="102"/>
      <c r="JH45" s="102"/>
      <c r="JI45" s="102"/>
      <c r="JJ45" s="102"/>
      <c r="JK45" s="102"/>
      <c r="JL45" s="102"/>
      <c r="JM45" s="102"/>
      <c r="JN45" s="102"/>
      <c r="JO45" s="102"/>
      <c r="JP45" s="102"/>
      <c r="JQ45" s="102"/>
      <c r="JR45" s="102"/>
      <c r="JS45" s="102"/>
      <c r="JT45" s="102"/>
      <c r="JU45" s="102"/>
      <c r="JV45" s="102"/>
      <c r="JW45" s="102"/>
      <c r="JX45" s="102"/>
      <c r="JY45" s="102"/>
      <c r="JZ45" s="102"/>
      <c r="KA45" s="102"/>
      <c r="KB45" s="102"/>
      <c r="KC45" s="102"/>
      <c r="KD45" s="102"/>
      <c r="KE45" s="102"/>
      <c r="KF45" s="102"/>
      <c r="KG45" s="102"/>
      <c r="KH45" s="102"/>
      <c r="KI45" s="102"/>
      <c r="KJ45" s="102"/>
      <c r="KK45" s="102"/>
      <c r="KL45" s="102"/>
      <c r="KM45" s="102"/>
      <c r="KN45" s="102"/>
      <c r="KO45" s="102"/>
      <c r="KP45" s="102"/>
      <c r="KQ45" s="102"/>
      <c r="KR45" s="102"/>
      <c r="KS45" s="102"/>
      <c r="KT45" s="102"/>
      <c r="KU45" s="102"/>
      <c r="KV45" s="102"/>
      <c r="KW45" s="102"/>
      <c r="KX45" s="102"/>
      <c r="KY45" s="102"/>
      <c r="KZ45" s="102"/>
      <c r="LA45" s="102"/>
      <c r="LB45" s="102"/>
      <c r="LC45" s="102"/>
      <c r="LD45" s="102"/>
      <c r="LE45" s="102"/>
      <c r="LF45" s="102"/>
      <c r="LG45" s="102"/>
      <c r="LH45" s="102"/>
      <c r="LI45" s="102"/>
      <c r="LJ45" s="102"/>
      <c r="LK45" s="102"/>
      <c r="LL45" s="102"/>
      <c r="LM45" s="102"/>
      <c r="LN45" s="102"/>
      <c r="LO45" s="102"/>
      <c r="LP45" s="102"/>
      <c r="LQ45" s="102"/>
      <c r="LR45" s="102"/>
      <c r="LS45" s="102"/>
      <c r="LT45" s="102"/>
      <c r="LU45" s="102"/>
      <c r="LV45" s="102"/>
      <c r="LW45" s="102"/>
      <c r="LX45" s="102"/>
      <c r="LY45" s="102"/>
    </row>
    <row r="46" ht="15" customHeight="1">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c r="EO46" s="102"/>
      <c r="EP46" s="102"/>
      <c r="EQ46" s="102"/>
      <c r="ER46" s="102"/>
      <c r="ES46" s="102"/>
      <c r="ET46" s="102"/>
      <c r="EU46" s="102"/>
      <c r="EV46" s="102"/>
      <c r="EW46" s="102"/>
      <c r="EX46" s="102"/>
      <c r="EY46" s="102"/>
      <c r="EZ46" s="102"/>
      <c r="FA46" s="102"/>
      <c r="FB46" s="102"/>
      <c r="FC46" s="102"/>
      <c r="FD46" s="102"/>
      <c r="FE46" s="102"/>
      <c r="FF46" s="102"/>
      <c r="FG46" s="102"/>
      <c r="FH46" s="102"/>
      <c r="FI46" s="102"/>
      <c r="FJ46" s="102"/>
      <c r="FK46" s="102"/>
      <c r="FL46" s="102"/>
      <c r="FM46" s="102"/>
      <c r="FN46" s="102"/>
      <c r="FO46" s="102"/>
      <c r="FP46" s="102"/>
      <c r="FQ46" s="102"/>
      <c r="FR46" s="102"/>
      <c r="FS46" s="102"/>
      <c r="FT46" s="102"/>
      <c r="FU46" s="102"/>
      <c r="FV46" s="102"/>
      <c r="FW46" s="102"/>
      <c r="FX46" s="102"/>
      <c r="FY46" s="102"/>
      <c r="FZ46" s="102"/>
      <c r="GA46" s="102"/>
      <c r="GB46" s="102"/>
      <c r="GC46" s="102"/>
      <c r="GD46" s="102"/>
      <c r="GE46" s="102"/>
      <c r="GF46" s="102"/>
      <c r="GG46" s="102"/>
      <c r="GH46" s="102"/>
      <c r="GI46" s="102"/>
      <c r="GJ46" s="102"/>
      <c r="GK46" s="102"/>
      <c r="GL46" s="102"/>
      <c r="GM46" s="102"/>
      <c r="GN46" s="102"/>
      <c r="GO46" s="102"/>
      <c r="GP46" s="102"/>
      <c r="GQ46" s="102"/>
      <c r="GR46" s="102"/>
      <c r="GS46" s="102"/>
      <c r="GT46" s="102"/>
      <c r="GU46" s="102"/>
      <c r="GV46" s="102"/>
      <c r="GW46" s="102"/>
      <c r="GX46" s="102"/>
      <c r="GY46" s="102"/>
      <c r="GZ46" s="102"/>
      <c r="HA46" s="102"/>
      <c r="HB46" s="102"/>
      <c r="HC46" s="102"/>
      <c r="HD46" s="102"/>
      <c r="HE46" s="102"/>
      <c r="HF46" s="102"/>
      <c r="HG46" s="102"/>
      <c r="HH46" s="102"/>
      <c r="HI46" s="102"/>
      <c r="HJ46" s="102"/>
      <c r="HK46" s="102"/>
      <c r="HL46" s="102"/>
      <c r="HM46" s="102"/>
      <c r="HN46" s="102"/>
      <c r="HO46" s="102"/>
      <c r="HP46" s="102"/>
      <c r="HQ46" s="102"/>
      <c r="HR46" s="102"/>
      <c r="HS46" s="102"/>
      <c r="HT46" s="102"/>
      <c r="HU46" s="102"/>
      <c r="HV46" s="102"/>
      <c r="HW46" s="102"/>
      <c r="HX46" s="102"/>
      <c r="HY46" s="102"/>
      <c r="HZ46" s="102"/>
      <c r="IA46" s="102"/>
      <c r="IB46" s="102"/>
      <c r="IC46" s="102"/>
      <c r="ID46" s="102"/>
      <c r="IE46" s="102"/>
      <c r="IF46" s="102"/>
      <c r="IG46" s="102"/>
      <c r="IH46" s="102"/>
      <c r="II46" s="102"/>
      <c r="IJ46" s="102"/>
      <c r="IK46" s="102"/>
      <c r="IL46" s="102"/>
      <c r="IM46" s="102"/>
      <c r="IN46" s="102"/>
      <c r="IO46" s="102"/>
      <c r="IP46" s="102"/>
      <c r="IQ46" s="102"/>
      <c r="IR46" s="102"/>
      <c r="IS46" s="102"/>
      <c r="IT46" s="102"/>
      <c r="IU46" s="102"/>
      <c r="IV46" s="102"/>
      <c r="IW46" s="102"/>
      <c r="IX46" s="102"/>
      <c r="IY46" s="102"/>
      <c r="IZ46" s="102"/>
      <c r="JA46" s="102"/>
      <c r="JB46" s="102"/>
      <c r="JC46" s="102"/>
      <c r="JD46" s="102"/>
      <c r="JE46" s="102"/>
      <c r="JF46" s="102"/>
      <c r="JG46" s="102"/>
      <c r="JH46" s="102"/>
      <c r="JI46" s="102"/>
      <c r="JJ46" s="102"/>
      <c r="JK46" s="102"/>
      <c r="JL46" s="102"/>
      <c r="JM46" s="102"/>
      <c r="JN46" s="102"/>
      <c r="JO46" s="102"/>
      <c r="JP46" s="102"/>
      <c r="JQ46" s="102"/>
      <c r="JR46" s="102"/>
      <c r="JS46" s="102"/>
      <c r="JT46" s="102"/>
      <c r="JU46" s="102"/>
      <c r="JV46" s="102"/>
      <c r="JW46" s="102"/>
      <c r="JX46" s="102"/>
      <c r="JY46" s="102"/>
      <c r="JZ46" s="102"/>
      <c r="KA46" s="102"/>
      <c r="KB46" s="102"/>
      <c r="KC46" s="102"/>
      <c r="KD46" s="102"/>
      <c r="KE46" s="102"/>
      <c r="KF46" s="102"/>
      <c r="KG46" s="102"/>
      <c r="KH46" s="102"/>
      <c r="KI46" s="102"/>
      <c r="KJ46" s="102"/>
      <c r="KK46" s="102"/>
      <c r="KL46" s="102"/>
      <c r="KM46" s="102"/>
      <c r="KN46" s="102"/>
      <c r="KO46" s="102"/>
      <c r="KP46" s="102"/>
      <c r="KQ46" s="102"/>
      <c r="KR46" s="102"/>
      <c r="KS46" s="102"/>
      <c r="KT46" s="102"/>
      <c r="KU46" s="102"/>
      <c r="KV46" s="102"/>
      <c r="KW46" s="102"/>
      <c r="KX46" s="102"/>
      <c r="KY46" s="102"/>
      <c r="KZ46" s="102"/>
      <c r="LA46" s="102"/>
      <c r="LB46" s="102"/>
      <c r="LC46" s="102"/>
      <c r="LD46" s="102"/>
      <c r="LE46" s="102"/>
      <c r="LF46" s="102"/>
      <c r="LG46" s="102"/>
      <c r="LH46" s="102"/>
      <c r="LI46" s="102"/>
      <c r="LJ46" s="102"/>
      <c r="LK46" s="102"/>
      <c r="LL46" s="102"/>
      <c r="LM46" s="102"/>
      <c r="LN46" s="102"/>
      <c r="LO46" s="102"/>
      <c r="LP46" s="102"/>
      <c r="LQ46" s="102"/>
      <c r="LR46" s="102"/>
      <c r="LS46" s="102"/>
      <c r="LT46" s="102"/>
      <c r="LU46" s="102"/>
      <c r="LV46" s="102"/>
      <c r="LW46" s="102"/>
      <c r="LX46" s="102"/>
      <c r="LY46" s="102"/>
    </row>
    <row r="47" ht="15" customHeight="1">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c r="DT47" s="102"/>
      <c r="DU47" s="102"/>
      <c r="DV47" s="102"/>
      <c r="DW47" s="102"/>
      <c r="DX47" s="102"/>
      <c r="DY47" s="102"/>
      <c r="DZ47" s="102"/>
      <c r="EA47" s="102"/>
      <c r="EB47" s="102"/>
      <c r="EC47" s="102"/>
      <c r="ED47" s="102"/>
      <c r="EE47" s="102"/>
      <c r="EF47" s="102"/>
      <c r="EG47" s="102"/>
      <c r="EH47" s="102"/>
      <c r="EI47" s="102"/>
      <c r="EJ47" s="102"/>
      <c r="EK47" s="102"/>
      <c r="EL47" s="102"/>
      <c r="EM47" s="102"/>
      <c r="EN47" s="102"/>
      <c r="EO47" s="102"/>
      <c r="EP47" s="102"/>
      <c r="EQ47" s="102"/>
      <c r="ER47" s="102"/>
      <c r="ES47" s="102"/>
      <c r="ET47" s="102"/>
      <c r="EU47" s="102"/>
      <c r="EV47" s="102"/>
      <c r="EW47" s="102"/>
      <c r="EX47" s="102"/>
      <c r="EY47" s="102"/>
      <c r="EZ47" s="102"/>
      <c r="FA47" s="102"/>
      <c r="FB47" s="102"/>
      <c r="FC47" s="102"/>
      <c r="FD47" s="102"/>
      <c r="FE47" s="102"/>
      <c r="FF47" s="102"/>
      <c r="FG47" s="102"/>
      <c r="FH47" s="102"/>
      <c r="FI47" s="102"/>
      <c r="FJ47" s="102"/>
      <c r="FK47" s="102"/>
      <c r="FL47" s="102"/>
      <c r="FM47" s="102"/>
      <c r="FN47" s="102"/>
      <c r="FO47" s="102"/>
      <c r="FP47" s="102"/>
      <c r="FQ47" s="102"/>
      <c r="FR47" s="102"/>
      <c r="FS47" s="102"/>
      <c r="FT47" s="102"/>
      <c r="FU47" s="102"/>
      <c r="FV47" s="102"/>
      <c r="FW47" s="102"/>
      <c r="FX47" s="102"/>
      <c r="FY47" s="102"/>
      <c r="FZ47" s="102"/>
      <c r="GA47" s="102"/>
      <c r="GB47" s="102"/>
      <c r="GC47" s="102"/>
      <c r="GD47" s="102"/>
      <c r="GE47" s="102"/>
      <c r="GF47" s="102"/>
      <c r="GG47" s="102"/>
      <c r="GH47" s="102"/>
      <c r="GI47" s="102"/>
      <c r="GJ47" s="102"/>
      <c r="GK47" s="102"/>
      <c r="GL47" s="102"/>
      <c r="GM47" s="102"/>
      <c r="GN47" s="102"/>
      <c r="GO47" s="102"/>
      <c r="GP47" s="102"/>
      <c r="GQ47" s="102"/>
      <c r="GR47" s="102"/>
      <c r="GS47" s="102"/>
      <c r="GT47" s="102"/>
      <c r="GU47" s="102"/>
      <c r="GV47" s="102"/>
      <c r="GW47" s="102"/>
      <c r="GX47" s="102"/>
      <c r="GY47" s="102"/>
      <c r="GZ47" s="102"/>
      <c r="HA47" s="102"/>
      <c r="HB47" s="102"/>
      <c r="HC47" s="102"/>
      <c r="HD47" s="102"/>
      <c r="HE47" s="102"/>
      <c r="HF47" s="102"/>
      <c r="HG47" s="102"/>
      <c r="HH47" s="102"/>
      <c r="HI47" s="102"/>
      <c r="HJ47" s="102"/>
      <c r="HK47" s="102"/>
      <c r="HL47" s="102"/>
      <c r="HM47" s="102"/>
      <c r="HN47" s="102"/>
      <c r="HO47" s="102"/>
      <c r="HP47" s="102"/>
      <c r="HQ47" s="102"/>
      <c r="HR47" s="102"/>
      <c r="HS47" s="102"/>
      <c r="HT47" s="102"/>
      <c r="HU47" s="102"/>
      <c r="HV47" s="102"/>
      <c r="HW47" s="102"/>
      <c r="HX47" s="102"/>
      <c r="HY47" s="102"/>
      <c r="HZ47" s="102"/>
      <c r="IA47" s="102"/>
      <c r="IB47" s="102"/>
      <c r="IC47" s="102"/>
      <c r="ID47" s="102"/>
      <c r="IE47" s="102"/>
      <c r="IF47" s="102"/>
      <c r="IG47" s="102"/>
      <c r="IH47" s="102"/>
      <c r="II47" s="102"/>
      <c r="IJ47" s="102"/>
      <c r="IK47" s="102"/>
      <c r="IL47" s="102"/>
      <c r="IM47" s="102"/>
      <c r="IN47" s="102"/>
      <c r="IO47" s="102"/>
      <c r="IP47" s="102"/>
      <c r="IQ47" s="102"/>
      <c r="IR47" s="102"/>
      <c r="IS47" s="102"/>
      <c r="IT47" s="102"/>
      <c r="IU47" s="102"/>
      <c r="IV47" s="102"/>
      <c r="IW47" s="102"/>
      <c r="IX47" s="102"/>
      <c r="IY47" s="102"/>
      <c r="IZ47" s="102"/>
      <c r="JA47" s="102"/>
      <c r="JB47" s="102"/>
      <c r="JC47" s="102"/>
      <c r="JD47" s="102"/>
      <c r="JE47" s="102"/>
      <c r="JF47" s="102"/>
      <c r="JG47" s="102"/>
      <c r="JH47" s="102"/>
      <c r="JI47" s="102"/>
      <c r="JJ47" s="102"/>
      <c r="JK47" s="102"/>
      <c r="JL47" s="102"/>
      <c r="JM47" s="102"/>
      <c r="JN47" s="102"/>
      <c r="JO47" s="102"/>
      <c r="JP47" s="102"/>
      <c r="JQ47" s="102"/>
      <c r="JR47" s="102"/>
      <c r="JS47" s="102"/>
      <c r="JT47" s="102"/>
      <c r="JU47" s="102"/>
      <c r="JV47" s="102"/>
      <c r="JW47" s="102"/>
      <c r="JX47" s="102"/>
      <c r="JY47" s="102"/>
      <c r="JZ47" s="102"/>
      <c r="KA47" s="102"/>
      <c r="KB47" s="102"/>
      <c r="KC47" s="102"/>
      <c r="KD47" s="102"/>
      <c r="KE47" s="102"/>
      <c r="KF47" s="102"/>
      <c r="KG47" s="102"/>
      <c r="KH47" s="102"/>
      <c r="KI47" s="102"/>
      <c r="KJ47" s="102"/>
      <c r="KK47" s="102"/>
      <c r="KL47" s="102"/>
      <c r="KM47" s="102"/>
      <c r="KN47" s="102"/>
      <c r="KO47" s="102"/>
      <c r="KP47" s="102"/>
      <c r="KQ47" s="102"/>
      <c r="KR47" s="102"/>
      <c r="KS47" s="102"/>
      <c r="KT47" s="102"/>
      <c r="KU47" s="102"/>
      <c r="KV47" s="102"/>
      <c r="KW47" s="102"/>
      <c r="KX47" s="102"/>
      <c r="KY47" s="102"/>
      <c r="KZ47" s="102"/>
      <c r="LA47" s="102"/>
      <c r="LB47" s="102"/>
      <c r="LC47" s="102"/>
      <c r="LD47" s="102"/>
      <c r="LE47" s="102"/>
      <c r="LF47" s="102"/>
      <c r="LG47" s="102"/>
      <c r="LH47" s="102"/>
      <c r="LI47" s="102"/>
      <c r="LJ47" s="102"/>
      <c r="LK47" s="102"/>
      <c r="LL47" s="102"/>
      <c r="LM47" s="102"/>
      <c r="LN47" s="102"/>
      <c r="LO47" s="102"/>
      <c r="LP47" s="102"/>
      <c r="LQ47" s="102"/>
      <c r="LR47" s="102"/>
      <c r="LS47" s="102"/>
      <c r="LT47" s="102"/>
      <c r="LU47" s="102"/>
      <c r="LV47" s="102"/>
      <c r="LW47" s="102"/>
      <c r="LX47" s="102"/>
      <c r="LY47" s="102"/>
    </row>
    <row r="48" ht="15" customHeight="1">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c r="EC48" s="102"/>
      <c r="ED48" s="102"/>
      <c r="EE48" s="102"/>
      <c r="EF48" s="102"/>
      <c r="EG48" s="102"/>
      <c r="EH48" s="102"/>
      <c r="EI48" s="102"/>
      <c r="EJ48" s="102"/>
      <c r="EK48" s="102"/>
      <c r="EL48" s="102"/>
      <c r="EM48" s="102"/>
      <c r="EN48" s="102"/>
      <c r="EO48" s="102"/>
      <c r="EP48" s="102"/>
      <c r="EQ48" s="102"/>
      <c r="ER48" s="102"/>
      <c r="ES48" s="102"/>
      <c r="ET48" s="102"/>
      <c r="EU48" s="102"/>
      <c r="EV48" s="102"/>
      <c r="EW48" s="102"/>
      <c r="EX48" s="102"/>
      <c r="EY48" s="102"/>
      <c r="EZ48" s="102"/>
      <c r="FA48" s="102"/>
      <c r="FB48" s="102"/>
      <c r="FC48" s="102"/>
      <c r="FD48" s="102"/>
      <c r="FE48" s="102"/>
      <c r="FF48" s="102"/>
      <c r="FG48" s="102"/>
      <c r="FH48" s="102"/>
      <c r="FI48" s="102"/>
      <c r="FJ48" s="102"/>
      <c r="FK48" s="102"/>
      <c r="FL48" s="102"/>
      <c r="FM48" s="102"/>
      <c r="FN48" s="102"/>
      <c r="FO48" s="102"/>
      <c r="FP48" s="102"/>
      <c r="FQ48" s="102"/>
      <c r="FR48" s="102"/>
      <c r="FS48" s="102"/>
      <c r="FT48" s="102"/>
      <c r="FU48" s="102"/>
      <c r="FV48" s="102"/>
      <c r="FW48" s="102"/>
      <c r="FX48" s="102"/>
      <c r="FY48" s="102"/>
      <c r="FZ48" s="102"/>
      <c r="GA48" s="102"/>
      <c r="GB48" s="102"/>
      <c r="GC48" s="102"/>
      <c r="GD48" s="102"/>
      <c r="GE48" s="102"/>
      <c r="GF48" s="102"/>
      <c r="GG48" s="102"/>
      <c r="GH48" s="102"/>
      <c r="GI48" s="102"/>
      <c r="GJ48" s="102"/>
      <c r="GK48" s="102"/>
      <c r="GL48" s="102"/>
      <c r="GM48" s="102"/>
      <c r="GN48" s="102"/>
      <c r="GO48" s="102"/>
      <c r="GP48" s="102"/>
      <c r="GQ48" s="102"/>
      <c r="GR48" s="102"/>
      <c r="GS48" s="102"/>
      <c r="GT48" s="102"/>
      <c r="GU48" s="102"/>
      <c r="GV48" s="102"/>
      <c r="GW48" s="102"/>
      <c r="GX48" s="102"/>
      <c r="GY48" s="102"/>
      <c r="GZ48" s="102"/>
      <c r="HA48" s="102"/>
      <c r="HB48" s="102"/>
      <c r="HC48" s="102"/>
      <c r="HD48" s="102"/>
      <c r="HE48" s="102"/>
      <c r="HF48" s="102"/>
      <c r="HG48" s="102"/>
      <c r="HH48" s="102"/>
      <c r="HI48" s="102"/>
      <c r="HJ48" s="102"/>
      <c r="HK48" s="102"/>
      <c r="HL48" s="102"/>
      <c r="HM48" s="102"/>
      <c r="HN48" s="102"/>
      <c r="HO48" s="102"/>
      <c r="HP48" s="102"/>
      <c r="HQ48" s="102"/>
      <c r="HR48" s="102"/>
      <c r="HS48" s="102"/>
      <c r="HT48" s="102"/>
      <c r="HU48" s="102"/>
      <c r="HV48" s="102"/>
      <c r="HW48" s="102"/>
      <c r="HX48" s="102"/>
      <c r="HY48" s="102"/>
      <c r="HZ48" s="102"/>
      <c r="IA48" s="102"/>
      <c r="IB48" s="102"/>
      <c r="IC48" s="102"/>
      <c r="ID48" s="102"/>
      <c r="IE48" s="102"/>
      <c r="IF48" s="102"/>
      <c r="IG48" s="102"/>
      <c r="IH48" s="102"/>
      <c r="II48" s="102"/>
      <c r="IJ48" s="102"/>
      <c r="IK48" s="102"/>
      <c r="IL48" s="102"/>
      <c r="IM48" s="102"/>
      <c r="IN48" s="102"/>
      <c r="IO48" s="102"/>
      <c r="IP48" s="102"/>
      <c r="IQ48" s="102"/>
      <c r="IR48" s="102"/>
      <c r="IS48" s="102"/>
      <c r="IT48" s="102"/>
      <c r="IU48" s="102"/>
      <c r="IV48" s="102"/>
      <c r="IW48" s="102"/>
      <c r="IX48" s="102"/>
      <c r="IY48" s="102"/>
      <c r="IZ48" s="102"/>
      <c r="JA48" s="102"/>
      <c r="JB48" s="102"/>
      <c r="JC48" s="102"/>
      <c r="JD48" s="102"/>
      <c r="JE48" s="102"/>
      <c r="JF48" s="102"/>
      <c r="JG48" s="102"/>
      <c r="JH48" s="102"/>
      <c r="JI48" s="102"/>
      <c r="JJ48" s="102"/>
      <c r="JK48" s="102"/>
      <c r="JL48" s="102"/>
      <c r="JM48" s="102"/>
      <c r="JN48" s="102"/>
      <c r="JO48" s="102"/>
      <c r="JP48" s="102"/>
      <c r="JQ48" s="102"/>
      <c r="JR48" s="102"/>
      <c r="JS48" s="102"/>
      <c r="JT48" s="102"/>
      <c r="JU48" s="102"/>
      <c r="JV48" s="102"/>
      <c r="JW48" s="102"/>
      <c r="JX48" s="102"/>
      <c r="JY48" s="102"/>
      <c r="JZ48" s="102"/>
      <c r="KA48" s="102"/>
      <c r="KB48" s="102"/>
      <c r="KC48" s="102"/>
      <c r="KD48" s="102"/>
      <c r="KE48" s="102"/>
      <c r="KF48" s="102"/>
      <c r="KG48" s="102"/>
      <c r="KH48" s="102"/>
      <c r="KI48" s="102"/>
      <c r="KJ48" s="102"/>
      <c r="KK48" s="102"/>
      <c r="KL48" s="102"/>
      <c r="KM48" s="102"/>
      <c r="KN48" s="102"/>
      <c r="KO48" s="102"/>
      <c r="KP48" s="102"/>
      <c r="KQ48" s="102"/>
      <c r="KR48" s="102"/>
      <c r="KS48" s="102"/>
      <c r="KT48" s="102"/>
      <c r="KU48" s="102"/>
      <c r="KV48" s="102"/>
      <c r="KW48" s="102"/>
      <c r="KX48" s="102"/>
      <c r="KY48" s="102"/>
      <c r="KZ48" s="102"/>
      <c r="LA48" s="102"/>
      <c r="LB48" s="102"/>
      <c r="LC48" s="102"/>
      <c r="LD48" s="102"/>
      <c r="LE48" s="102"/>
      <c r="LF48" s="102"/>
      <c r="LG48" s="102"/>
      <c r="LH48" s="102"/>
      <c r="LI48" s="102"/>
      <c r="LJ48" s="102"/>
      <c r="LK48" s="102"/>
      <c r="LL48" s="102"/>
      <c r="LM48" s="102"/>
      <c r="LN48" s="102"/>
      <c r="LO48" s="102"/>
      <c r="LP48" s="102"/>
      <c r="LQ48" s="102"/>
      <c r="LR48" s="102"/>
      <c r="LS48" s="102"/>
      <c r="LT48" s="102"/>
      <c r="LU48" s="102"/>
      <c r="LV48" s="102"/>
      <c r="LW48" s="102"/>
      <c r="LX48" s="102"/>
      <c r="LY48" s="102"/>
    </row>
    <row r="49" ht="15" customHeight="1">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c r="EO49" s="102"/>
      <c r="EP49" s="102"/>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2"/>
      <c r="FN49" s="102"/>
      <c r="FO49" s="102"/>
      <c r="FP49" s="102"/>
      <c r="FQ49" s="102"/>
      <c r="FR49" s="102"/>
      <c r="FS49" s="102"/>
      <c r="FT49" s="102"/>
      <c r="FU49" s="102"/>
      <c r="FV49" s="102"/>
      <c r="FW49" s="102"/>
      <c r="FX49" s="102"/>
      <c r="FY49" s="102"/>
      <c r="FZ49" s="102"/>
      <c r="GA49" s="102"/>
      <c r="GB49" s="102"/>
      <c r="GC49" s="102"/>
      <c r="GD49" s="102"/>
      <c r="GE49" s="102"/>
      <c r="GF49" s="102"/>
      <c r="GG49" s="102"/>
      <c r="GH49" s="102"/>
      <c r="GI49" s="102"/>
      <c r="GJ49" s="102"/>
      <c r="GK49" s="102"/>
      <c r="GL49" s="102"/>
      <c r="GM49" s="102"/>
      <c r="GN49" s="102"/>
      <c r="GO49" s="102"/>
      <c r="GP49" s="102"/>
      <c r="GQ49" s="102"/>
      <c r="GR49" s="102"/>
      <c r="GS49" s="102"/>
      <c r="GT49" s="102"/>
      <c r="GU49" s="102"/>
      <c r="GV49" s="102"/>
      <c r="GW49" s="102"/>
      <c r="GX49" s="102"/>
      <c r="GY49" s="102"/>
      <c r="GZ49" s="102"/>
      <c r="HA49" s="102"/>
      <c r="HB49" s="102"/>
      <c r="HC49" s="102"/>
      <c r="HD49" s="102"/>
      <c r="HE49" s="102"/>
      <c r="HF49" s="102"/>
      <c r="HG49" s="102"/>
      <c r="HH49" s="102"/>
      <c r="HI49" s="102"/>
      <c r="HJ49" s="102"/>
      <c r="HK49" s="102"/>
      <c r="HL49" s="102"/>
      <c r="HM49" s="102"/>
      <c r="HN49" s="102"/>
      <c r="HO49" s="102"/>
      <c r="HP49" s="102"/>
      <c r="HQ49" s="102"/>
      <c r="HR49" s="102"/>
      <c r="HS49" s="102"/>
      <c r="HT49" s="102"/>
      <c r="HU49" s="102"/>
      <c r="HV49" s="102"/>
      <c r="HW49" s="102"/>
      <c r="HX49" s="102"/>
      <c r="HY49" s="102"/>
      <c r="HZ49" s="102"/>
      <c r="IA49" s="102"/>
      <c r="IB49" s="102"/>
      <c r="IC49" s="102"/>
      <c r="ID49" s="102"/>
      <c r="IE49" s="102"/>
      <c r="IF49" s="102"/>
      <c r="IG49" s="102"/>
      <c r="IH49" s="102"/>
      <c r="II49" s="102"/>
      <c r="IJ49" s="102"/>
      <c r="IK49" s="102"/>
      <c r="IL49" s="102"/>
      <c r="IM49" s="102"/>
      <c r="IN49" s="102"/>
      <c r="IO49" s="102"/>
      <c r="IP49" s="102"/>
      <c r="IQ49" s="102"/>
      <c r="IR49" s="102"/>
      <c r="IS49" s="102"/>
      <c r="IT49" s="102"/>
      <c r="IU49" s="102"/>
      <c r="IV49" s="102"/>
      <c r="IW49" s="102"/>
      <c r="IX49" s="102"/>
      <c r="IY49" s="102"/>
      <c r="IZ49" s="102"/>
      <c r="JA49" s="102"/>
      <c r="JB49" s="102"/>
      <c r="JC49" s="102"/>
      <c r="JD49" s="102"/>
      <c r="JE49" s="102"/>
      <c r="JF49" s="102"/>
      <c r="JG49" s="102"/>
      <c r="JH49" s="102"/>
      <c r="JI49" s="102"/>
      <c r="JJ49" s="102"/>
      <c r="JK49" s="102"/>
      <c r="JL49" s="102"/>
      <c r="JM49" s="102"/>
      <c r="JN49" s="102"/>
      <c r="JO49" s="102"/>
      <c r="JP49" s="102"/>
      <c r="JQ49" s="102"/>
      <c r="JR49" s="102"/>
      <c r="JS49" s="102"/>
      <c r="JT49" s="102"/>
      <c r="JU49" s="102"/>
      <c r="JV49" s="102"/>
      <c r="JW49" s="102"/>
      <c r="JX49" s="102"/>
      <c r="JY49" s="102"/>
      <c r="JZ49" s="102"/>
      <c r="KA49" s="102"/>
      <c r="KB49" s="102"/>
      <c r="KC49" s="102"/>
      <c r="KD49" s="102"/>
      <c r="KE49" s="102"/>
      <c r="KF49" s="102"/>
      <c r="KG49" s="102"/>
      <c r="KH49" s="102"/>
      <c r="KI49" s="102"/>
      <c r="KJ49" s="102"/>
      <c r="KK49" s="102"/>
      <c r="KL49" s="102"/>
      <c r="KM49" s="102"/>
      <c r="KN49" s="102"/>
      <c r="KO49" s="102"/>
      <c r="KP49" s="102"/>
      <c r="KQ49" s="102"/>
      <c r="KR49" s="102"/>
      <c r="KS49" s="102"/>
      <c r="KT49" s="102"/>
      <c r="KU49" s="102"/>
      <c r="KV49" s="102"/>
      <c r="KW49" s="102"/>
      <c r="KX49" s="102"/>
      <c r="KY49" s="102"/>
      <c r="KZ49" s="102"/>
      <c r="LA49" s="102"/>
      <c r="LB49" s="102"/>
      <c r="LC49" s="102"/>
      <c r="LD49" s="102"/>
      <c r="LE49" s="102"/>
      <c r="LF49" s="102"/>
      <c r="LG49" s="102"/>
      <c r="LH49" s="102"/>
      <c r="LI49" s="102"/>
      <c r="LJ49" s="102"/>
      <c r="LK49" s="102"/>
      <c r="LL49" s="102"/>
      <c r="LM49" s="102"/>
      <c r="LN49" s="102"/>
      <c r="LO49" s="102"/>
      <c r="LP49" s="102"/>
      <c r="LQ49" s="102"/>
      <c r="LR49" s="102"/>
      <c r="LS49" s="102"/>
      <c r="LT49" s="102"/>
      <c r="LU49" s="102"/>
      <c r="LV49" s="102"/>
      <c r="LW49" s="102"/>
      <c r="LX49" s="102"/>
      <c r="LY49" s="102"/>
    </row>
    <row r="50" ht="15" customHeight="1">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c r="EO50" s="102"/>
      <c r="EP50" s="102"/>
      <c r="EQ50" s="102"/>
      <c r="ER50" s="102"/>
      <c r="ES50" s="102"/>
      <c r="ET50" s="102"/>
      <c r="EU50" s="102"/>
      <c r="EV50" s="102"/>
      <c r="EW50" s="102"/>
      <c r="EX50" s="102"/>
      <c r="EY50" s="102"/>
      <c r="EZ50" s="102"/>
      <c r="FA50" s="102"/>
      <c r="FB50" s="102"/>
      <c r="FC50" s="102"/>
      <c r="FD50" s="102"/>
      <c r="FE50" s="102"/>
      <c r="FF50" s="102"/>
      <c r="FG50" s="102"/>
      <c r="FH50" s="102"/>
      <c r="FI50" s="102"/>
      <c r="FJ50" s="102"/>
      <c r="FK50" s="102"/>
      <c r="FL50" s="102"/>
      <c r="FM50" s="102"/>
      <c r="FN50" s="102"/>
      <c r="FO50" s="102"/>
      <c r="FP50" s="102"/>
      <c r="FQ50" s="102"/>
      <c r="FR50" s="102"/>
      <c r="FS50" s="102"/>
      <c r="FT50" s="102"/>
      <c r="FU50" s="102"/>
      <c r="FV50" s="102"/>
      <c r="FW50" s="102"/>
      <c r="FX50" s="102"/>
      <c r="FY50" s="102"/>
      <c r="FZ50" s="102"/>
      <c r="GA50" s="102"/>
      <c r="GB50" s="102"/>
      <c r="GC50" s="102"/>
      <c r="GD50" s="102"/>
      <c r="GE50" s="102"/>
      <c r="GF50" s="102"/>
      <c r="GG50" s="102"/>
      <c r="GH50" s="102"/>
      <c r="GI50" s="102"/>
      <c r="GJ50" s="102"/>
      <c r="GK50" s="102"/>
      <c r="GL50" s="102"/>
      <c r="GM50" s="102"/>
      <c r="GN50" s="102"/>
      <c r="GO50" s="102"/>
      <c r="GP50" s="102"/>
      <c r="GQ50" s="102"/>
      <c r="GR50" s="102"/>
      <c r="GS50" s="102"/>
      <c r="GT50" s="102"/>
      <c r="GU50" s="102"/>
      <c r="GV50" s="102"/>
      <c r="GW50" s="102"/>
      <c r="GX50" s="102"/>
      <c r="GY50" s="102"/>
      <c r="GZ50" s="102"/>
      <c r="HA50" s="102"/>
      <c r="HB50" s="102"/>
      <c r="HC50" s="102"/>
      <c r="HD50" s="102"/>
      <c r="HE50" s="102"/>
      <c r="HF50" s="102"/>
      <c r="HG50" s="102"/>
      <c r="HH50" s="102"/>
      <c r="HI50" s="102"/>
      <c r="HJ50" s="102"/>
      <c r="HK50" s="102"/>
      <c r="HL50" s="102"/>
      <c r="HM50" s="102"/>
      <c r="HN50" s="102"/>
      <c r="HO50" s="102"/>
      <c r="HP50" s="102"/>
      <c r="HQ50" s="102"/>
      <c r="HR50" s="102"/>
      <c r="HS50" s="102"/>
      <c r="HT50" s="102"/>
      <c r="HU50" s="102"/>
      <c r="HV50" s="102"/>
      <c r="HW50" s="102"/>
      <c r="HX50" s="102"/>
      <c r="HY50" s="102"/>
      <c r="HZ50" s="102"/>
      <c r="IA50" s="102"/>
      <c r="IB50" s="102"/>
      <c r="IC50" s="102"/>
      <c r="ID50" s="102"/>
      <c r="IE50" s="102"/>
      <c r="IF50" s="102"/>
      <c r="IG50" s="102"/>
      <c r="IH50" s="102"/>
      <c r="II50" s="102"/>
      <c r="IJ50" s="102"/>
      <c r="IK50" s="102"/>
      <c r="IL50" s="102"/>
      <c r="IM50" s="102"/>
      <c r="IN50" s="102"/>
      <c r="IO50" s="102"/>
      <c r="IP50" s="102"/>
      <c r="IQ50" s="102"/>
      <c r="IR50" s="102"/>
      <c r="IS50" s="102"/>
      <c r="IT50" s="102"/>
      <c r="IU50" s="102"/>
      <c r="IV50" s="102"/>
      <c r="IW50" s="102"/>
      <c r="IX50" s="102"/>
      <c r="IY50" s="102"/>
      <c r="IZ50" s="102"/>
      <c r="JA50" s="102"/>
      <c r="JB50" s="102"/>
      <c r="JC50" s="102"/>
      <c r="JD50" s="102"/>
      <c r="JE50" s="102"/>
      <c r="JF50" s="102"/>
      <c r="JG50" s="102"/>
      <c r="JH50" s="102"/>
      <c r="JI50" s="102"/>
      <c r="JJ50" s="102"/>
      <c r="JK50" s="102"/>
      <c r="JL50" s="102"/>
      <c r="JM50" s="102"/>
      <c r="JN50" s="102"/>
      <c r="JO50" s="102"/>
      <c r="JP50" s="102"/>
      <c r="JQ50" s="102"/>
      <c r="JR50" s="102"/>
      <c r="JS50" s="102"/>
      <c r="JT50" s="102"/>
      <c r="JU50" s="102"/>
      <c r="JV50" s="102"/>
      <c r="JW50" s="102"/>
      <c r="JX50" s="102"/>
      <c r="JY50" s="102"/>
      <c r="JZ50" s="102"/>
      <c r="KA50" s="102"/>
      <c r="KB50" s="102"/>
      <c r="KC50" s="102"/>
      <c r="KD50" s="102"/>
      <c r="KE50" s="102"/>
      <c r="KF50" s="102"/>
      <c r="KG50" s="102"/>
      <c r="KH50" s="102"/>
      <c r="KI50" s="102"/>
      <c r="KJ50" s="102"/>
      <c r="KK50" s="102"/>
      <c r="KL50" s="102"/>
      <c r="KM50" s="102"/>
      <c r="KN50" s="102"/>
      <c r="KO50" s="102"/>
      <c r="KP50" s="102"/>
      <c r="KQ50" s="102"/>
      <c r="KR50" s="102"/>
      <c r="KS50" s="102"/>
      <c r="KT50" s="102"/>
      <c r="KU50" s="102"/>
      <c r="KV50" s="102"/>
      <c r="KW50" s="102"/>
      <c r="KX50" s="102"/>
      <c r="KY50" s="102"/>
      <c r="KZ50" s="102"/>
      <c r="LA50" s="102"/>
      <c r="LB50" s="102"/>
      <c r="LC50" s="102"/>
      <c r="LD50" s="102"/>
      <c r="LE50" s="102"/>
      <c r="LF50" s="102"/>
      <c r="LG50" s="102"/>
      <c r="LH50" s="102"/>
      <c r="LI50" s="102"/>
      <c r="LJ50" s="102"/>
      <c r="LK50" s="102"/>
      <c r="LL50" s="102"/>
      <c r="LM50" s="102"/>
      <c r="LN50" s="102"/>
      <c r="LO50" s="102"/>
      <c r="LP50" s="102"/>
      <c r="LQ50" s="102"/>
      <c r="LR50" s="102"/>
      <c r="LS50" s="102"/>
      <c r="LT50" s="102"/>
      <c r="LU50" s="102"/>
      <c r="LV50" s="102"/>
      <c r="LW50" s="102"/>
      <c r="LX50" s="102"/>
      <c r="LY50" s="102"/>
    </row>
    <row r="51" ht="15" customHeight="1">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c r="DT51" s="102"/>
      <c r="DU51" s="102"/>
      <c r="DV51" s="102"/>
      <c r="DW51" s="102"/>
      <c r="DX51" s="102"/>
      <c r="DY51" s="102"/>
      <c r="DZ51" s="102"/>
      <c r="EA51" s="102"/>
      <c r="EB51" s="102"/>
      <c r="EC51" s="102"/>
      <c r="ED51" s="102"/>
      <c r="EE51" s="102"/>
      <c r="EF51" s="102"/>
      <c r="EG51" s="102"/>
      <c r="EH51" s="102"/>
      <c r="EI51" s="102"/>
      <c r="EJ51" s="102"/>
      <c r="EK51" s="102"/>
      <c r="EL51" s="102"/>
      <c r="EM51" s="102"/>
      <c r="EN51" s="102"/>
      <c r="EO51" s="102"/>
      <c r="EP51" s="102"/>
      <c r="EQ51" s="102"/>
      <c r="ER51" s="102"/>
      <c r="ES51" s="102"/>
      <c r="ET51" s="102"/>
      <c r="EU51" s="102"/>
      <c r="EV51" s="102"/>
      <c r="EW51" s="102"/>
      <c r="EX51" s="102"/>
      <c r="EY51" s="102"/>
      <c r="EZ51" s="102"/>
      <c r="FA51" s="102"/>
      <c r="FB51" s="102"/>
      <c r="FC51" s="102"/>
      <c r="FD51" s="102"/>
      <c r="FE51" s="102"/>
      <c r="FF51" s="102"/>
      <c r="FG51" s="102"/>
      <c r="FH51" s="102"/>
      <c r="FI51" s="102"/>
      <c r="FJ51" s="102"/>
      <c r="FK51" s="102"/>
      <c r="FL51" s="102"/>
      <c r="FM51" s="102"/>
      <c r="FN51" s="102"/>
      <c r="FO51" s="102"/>
      <c r="FP51" s="102"/>
      <c r="FQ51" s="102"/>
      <c r="FR51" s="102"/>
      <c r="FS51" s="102"/>
      <c r="FT51" s="102"/>
      <c r="FU51" s="102"/>
      <c r="FV51" s="102"/>
      <c r="FW51" s="102"/>
      <c r="FX51" s="102"/>
      <c r="FY51" s="102"/>
      <c r="FZ51" s="102"/>
      <c r="GA51" s="102"/>
      <c r="GB51" s="102"/>
      <c r="GC51" s="102"/>
      <c r="GD51" s="102"/>
      <c r="GE51" s="102"/>
      <c r="GF51" s="102"/>
      <c r="GG51" s="102"/>
      <c r="GH51" s="102"/>
      <c r="GI51" s="102"/>
      <c r="GJ51" s="102"/>
      <c r="GK51" s="102"/>
      <c r="GL51" s="102"/>
      <c r="GM51" s="102"/>
      <c r="GN51" s="102"/>
      <c r="GO51" s="102"/>
      <c r="GP51" s="102"/>
      <c r="GQ51" s="102"/>
      <c r="GR51" s="102"/>
      <c r="GS51" s="102"/>
      <c r="GT51" s="102"/>
      <c r="GU51" s="102"/>
      <c r="GV51" s="102"/>
      <c r="GW51" s="102"/>
      <c r="GX51" s="102"/>
      <c r="GY51" s="102"/>
      <c r="GZ51" s="102"/>
      <c r="HA51" s="102"/>
      <c r="HB51" s="102"/>
      <c r="HC51" s="102"/>
      <c r="HD51" s="102"/>
      <c r="HE51" s="102"/>
      <c r="HF51" s="102"/>
      <c r="HG51" s="102"/>
      <c r="HH51" s="102"/>
      <c r="HI51" s="102"/>
      <c r="HJ51" s="102"/>
      <c r="HK51" s="102"/>
      <c r="HL51" s="102"/>
      <c r="HM51" s="102"/>
      <c r="HN51" s="102"/>
      <c r="HO51" s="102"/>
      <c r="HP51" s="102"/>
      <c r="HQ51" s="102"/>
      <c r="HR51" s="102"/>
      <c r="HS51" s="102"/>
      <c r="HT51" s="102"/>
      <c r="HU51" s="102"/>
      <c r="HV51" s="102"/>
      <c r="HW51" s="102"/>
      <c r="HX51" s="102"/>
      <c r="HY51" s="102"/>
      <c r="HZ51" s="102"/>
      <c r="IA51" s="102"/>
      <c r="IB51" s="102"/>
      <c r="IC51" s="102"/>
      <c r="ID51" s="102"/>
      <c r="IE51" s="102"/>
      <c r="IF51" s="102"/>
      <c r="IG51" s="102"/>
      <c r="IH51" s="102"/>
      <c r="II51" s="102"/>
      <c r="IJ51" s="102"/>
      <c r="IK51" s="102"/>
      <c r="IL51" s="102"/>
      <c r="IM51" s="102"/>
      <c r="IN51" s="102"/>
      <c r="IO51" s="102"/>
      <c r="IP51" s="102"/>
      <c r="IQ51" s="102"/>
      <c r="IR51" s="102"/>
      <c r="IS51" s="102"/>
      <c r="IT51" s="102"/>
      <c r="IU51" s="102"/>
      <c r="IV51" s="102"/>
      <c r="IW51" s="102"/>
      <c r="IX51" s="102"/>
      <c r="IY51" s="102"/>
      <c r="IZ51" s="102"/>
      <c r="JA51" s="102"/>
      <c r="JB51" s="102"/>
      <c r="JC51" s="102"/>
      <c r="JD51" s="102"/>
      <c r="JE51" s="102"/>
      <c r="JF51" s="102"/>
      <c r="JG51" s="102"/>
      <c r="JH51" s="102"/>
      <c r="JI51" s="102"/>
      <c r="JJ51" s="102"/>
      <c r="JK51" s="102"/>
      <c r="JL51" s="102"/>
      <c r="JM51" s="102"/>
      <c r="JN51" s="102"/>
      <c r="JO51" s="102"/>
      <c r="JP51" s="102"/>
      <c r="JQ51" s="102"/>
      <c r="JR51" s="102"/>
      <c r="JS51" s="102"/>
      <c r="JT51" s="102"/>
      <c r="JU51" s="102"/>
      <c r="JV51" s="102"/>
      <c r="JW51" s="102"/>
      <c r="JX51" s="102"/>
      <c r="JY51" s="102"/>
      <c r="JZ51" s="102"/>
      <c r="KA51" s="102"/>
      <c r="KB51" s="102"/>
      <c r="KC51" s="102"/>
      <c r="KD51" s="102"/>
      <c r="KE51" s="102"/>
      <c r="KF51" s="102"/>
      <c r="KG51" s="102"/>
      <c r="KH51" s="102"/>
      <c r="KI51" s="102"/>
      <c r="KJ51" s="102"/>
      <c r="KK51" s="102"/>
      <c r="KL51" s="102"/>
      <c r="KM51" s="102"/>
      <c r="KN51" s="102"/>
      <c r="KO51" s="102"/>
      <c r="KP51" s="102"/>
      <c r="KQ51" s="102"/>
      <c r="KR51" s="102"/>
      <c r="KS51" s="102"/>
      <c r="KT51" s="102"/>
      <c r="KU51" s="102"/>
      <c r="KV51" s="102"/>
      <c r="KW51" s="102"/>
      <c r="KX51" s="102"/>
      <c r="KY51" s="102"/>
      <c r="KZ51" s="102"/>
      <c r="LA51" s="102"/>
      <c r="LB51" s="102"/>
      <c r="LC51" s="102"/>
      <c r="LD51" s="102"/>
      <c r="LE51" s="102"/>
      <c r="LF51" s="102"/>
      <c r="LG51" s="102"/>
      <c r="LH51" s="102"/>
      <c r="LI51" s="102"/>
      <c r="LJ51" s="102"/>
      <c r="LK51" s="102"/>
      <c r="LL51" s="102"/>
      <c r="LM51" s="102"/>
      <c r="LN51" s="102"/>
      <c r="LO51" s="102"/>
      <c r="LP51" s="102"/>
      <c r="LQ51" s="102"/>
      <c r="LR51" s="102"/>
      <c r="LS51" s="102"/>
      <c r="LT51" s="102"/>
      <c r="LU51" s="102"/>
      <c r="LV51" s="102"/>
      <c r="LW51" s="102"/>
      <c r="LX51" s="102"/>
      <c r="LY51" s="102"/>
    </row>
    <row r="52" ht="15" customHeight="1">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c r="EO52" s="102"/>
      <c r="EP52" s="102"/>
      <c r="EQ52" s="102"/>
      <c r="ER52" s="102"/>
      <c r="ES52" s="102"/>
      <c r="ET52" s="102"/>
      <c r="EU52" s="102"/>
      <c r="EV52" s="102"/>
      <c r="EW52" s="102"/>
      <c r="EX52" s="102"/>
      <c r="EY52" s="102"/>
      <c r="EZ52" s="102"/>
      <c r="FA52" s="102"/>
      <c r="FB52" s="102"/>
      <c r="FC52" s="102"/>
      <c r="FD52" s="102"/>
      <c r="FE52" s="102"/>
      <c r="FF52" s="102"/>
      <c r="FG52" s="102"/>
      <c r="FH52" s="102"/>
      <c r="FI52" s="102"/>
      <c r="FJ52" s="102"/>
      <c r="FK52" s="102"/>
      <c r="FL52" s="102"/>
      <c r="FM52" s="102"/>
      <c r="FN52" s="102"/>
      <c r="FO52" s="102"/>
      <c r="FP52" s="102"/>
      <c r="FQ52" s="102"/>
      <c r="FR52" s="102"/>
      <c r="FS52" s="102"/>
      <c r="FT52" s="102"/>
      <c r="FU52" s="102"/>
      <c r="FV52" s="102"/>
      <c r="FW52" s="102"/>
      <c r="FX52" s="102"/>
      <c r="FY52" s="102"/>
      <c r="FZ52" s="102"/>
      <c r="GA52" s="102"/>
      <c r="GB52" s="102"/>
      <c r="GC52" s="102"/>
      <c r="GD52" s="102"/>
      <c r="GE52" s="102"/>
      <c r="GF52" s="102"/>
      <c r="GG52" s="102"/>
      <c r="GH52" s="102"/>
      <c r="GI52" s="102"/>
      <c r="GJ52" s="102"/>
      <c r="GK52" s="102"/>
      <c r="GL52" s="102"/>
      <c r="GM52" s="102"/>
      <c r="GN52" s="102"/>
      <c r="GO52" s="102"/>
      <c r="GP52" s="102"/>
      <c r="GQ52" s="102"/>
      <c r="GR52" s="102"/>
      <c r="GS52" s="102"/>
      <c r="GT52" s="102"/>
      <c r="GU52" s="102"/>
      <c r="GV52" s="102"/>
      <c r="GW52" s="102"/>
      <c r="GX52" s="102"/>
      <c r="GY52" s="102"/>
      <c r="GZ52" s="102"/>
      <c r="HA52" s="102"/>
      <c r="HB52" s="102"/>
      <c r="HC52" s="102"/>
      <c r="HD52" s="102"/>
      <c r="HE52" s="102"/>
      <c r="HF52" s="102"/>
      <c r="HG52" s="102"/>
      <c r="HH52" s="102"/>
      <c r="HI52" s="102"/>
      <c r="HJ52" s="102"/>
      <c r="HK52" s="102"/>
      <c r="HL52" s="102"/>
      <c r="HM52" s="102"/>
      <c r="HN52" s="102"/>
      <c r="HO52" s="102"/>
      <c r="HP52" s="102"/>
      <c r="HQ52" s="102"/>
      <c r="HR52" s="102"/>
      <c r="HS52" s="102"/>
      <c r="HT52" s="102"/>
      <c r="HU52" s="102"/>
      <c r="HV52" s="102"/>
      <c r="HW52" s="102"/>
      <c r="HX52" s="102"/>
      <c r="HY52" s="102"/>
      <c r="HZ52" s="102"/>
      <c r="IA52" s="102"/>
      <c r="IB52" s="102"/>
      <c r="IC52" s="102"/>
      <c r="ID52" s="102"/>
      <c r="IE52" s="102"/>
      <c r="IF52" s="102"/>
      <c r="IG52" s="102"/>
      <c r="IH52" s="102"/>
      <c r="II52" s="102"/>
      <c r="IJ52" s="102"/>
      <c r="IK52" s="102"/>
      <c r="IL52" s="102"/>
      <c r="IM52" s="102"/>
      <c r="IN52" s="102"/>
      <c r="IO52" s="102"/>
      <c r="IP52" s="102"/>
      <c r="IQ52" s="102"/>
      <c r="IR52" s="102"/>
      <c r="IS52" s="102"/>
      <c r="IT52" s="102"/>
      <c r="IU52" s="102"/>
      <c r="IV52" s="102"/>
      <c r="IW52" s="102"/>
      <c r="IX52" s="102"/>
      <c r="IY52" s="102"/>
      <c r="IZ52" s="102"/>
      <c r="JA52" s="102"/>
      <c r="JB52" s="102"/>
      <c r="JC52" s="102"/>
      <c r="JD52" s="102"/>
      <c r="JE52" s="102"/>
      <c r="JF52" s="102"/>
      <c r="JG52" s="102"/>
      <c r="JH52" s="102"/>
      <c r="JI52" s="102"/>
      <c r="JJ52" s="102"/>
      <c r="JK52" s="102"/>
      <c r="JL52" s="102"/>
      <c r="JM52" s="102"/>
      <c r="JN52" s="102"/>
      <c r="JO52" s="102"/>
      <c r="JP52" s="102"/>
      <c r="JQ52" s="102"/>
      <c r="JR52" s="102"/>
      <c r="JS52" s="102"/>
      <c r="JT52" s="102"/>
      <c r="JU52" s="102"/>
      <c r="JV52" s="102"/>
      <c r="JW52" s="102"/>
      <c r="JX52" s="102"/>
      <c r="JY52" s="102"/>
      <c r="JZ52" s="102"/>
      <c r="KA52" s="102"/>
      <c r="KB52" s="102"/>
      <c r="KC52" s="102"/>
      <c r="KD52" s="102"/>
      <c r="KE52" s="102"/>
      <c r="KF52" s="102"/>
      <c r="KG52" s="102"/>
      <c r="KH52" s="102"/>
      <c r="KI52" s="102"/>
      <c r="KJ52" s="102"/>
      <c r="KK52" s="102"/>
      <c r="KL52" s="102"/>
      <c r="KM52" s="102"/>
      <c r="KN52" s="102"/>
      <c r="KO52" s="102"/>
      <c r="KP52" s="102"/>
      <c r="KQ52" s="102"/>
      <c r="KR52" s="102"/>
      <c r="KS52" s="102"/>
      <c r="KT52" s="102"/>
      <c r="KU52" s="102"/>
      <c r="KV52" s="102"/>
      <c r="KW52" s="102"/>
      <c r="KX52" s="102"/>
      <c r="KY52" s="102"/>
      <c r="KZ52" s="102"/>
      <c r="LA52" s="102"/>
      <c r="LB52" s="102"/>
      <c r="LC52" s="102"/>
      <c r="LD52" s="102"/>
      <c r="LE52" s="102"/>
      <c r="LF52" s="102"/>
      <c r="LG52" s="102"/>
      <c r="LH52" s="102"/>
      <c r="LI52" s="102"/>
      <c r="LJ52" s="102"/>
      <c r="LK52" s="102"/>
      <c r="LL52" s="102"/>
      <c r="LM52" s="102"/>
      <c r="LN52" s="102"/>
      <c r="LO52" s="102"/>
      <c r="LP52" s="102"/>
      <c r="LQ52" s="102"/>
      <c r="LR52" s="102"/>
      <c r="LS52" s="102"/>
      <c r="LT52" s="102"/>
      <c r="LU52" s="102"/>
      <c r="LV52" s="102"/>
      <c r="LW52" s="102"/>
      <c r="LX52" s="102"/>
      <c r="LY52" s="102"/>
    </row>
    <row r="53" ht="15" customHeight="1">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c r="DT53" s="102"/>
      <c r="DU53" s="102"/>
      <c r="DV53" s="102"/>
      <c r="DW53" s="102"/>
      <c r="DX53" s="102"/>
      <c r="DY53" s="102"/>
      <c r="DZ53" s="102"/>
      <c r="EA53" s="102"/>
      <c r="EB53" s="102"/>
      <c r="EC53" s="102"/>
      <c r="ED53" s="102"/>
      <c r="EE53" s="102"/>
      <c r="EF53" s="102"/>
      <c r="EG53" s="102"/>
      <c r="EH53" s="102"/>
      <c r="EI53" s="102"/>
      <c r="EJ53" s="102"/>
      <c r="EK53" s="102"/>
      <c r="EL53" s="102"/>
      <c r="EM53" s="102"/>
      <c r="EN53" s="102"/>
      <c r="EO53" s="102"/>
      <c r="EP53" s="102"/>
      <c r="EQ53" s="102"/>
      <c r="ER53" s="102"/>
      <c r="ES53" s="102"/>
      <c r="ET53" s="102"/>
      <c r="EU53" s="102"/>
      <c r="EV53" s="102"/>
      <c r="EW53" s="102"/>
      <c r="EX53" s="102"/>
      <c r="EY53" s="102"/>
      <c r="EZ53" s="102"/>
      <c r="FA53" s="102"/>
      <c r="FB53" s="102"/>
      <c r="FC53" s="102"/>
      <c r="FD53" s="102"/>
      <c r="FE53" s="102"/>
      <c r="FF53" s="102"/>
      <c r="FG53" s="102"/>
      <c r="FH53" s="102"/>
      <c r="FI53" s="102"/>
      <c r="FJ53" s="102"/>
      <c r="FK53" s="102"/>
      <c r="FL53" s="102"/>
      <c r="FM53" s="102"/>
      <c r="FN53" s="102"/>
      <c r="FO53" s="102"/>
      <c r="FP53" s="102"/>
      <c r="FQ53" s="102"/>
      <c r="FR53" s="102"/>
      <c r="FS53" s="102"/>
      <c r="FT53" s="102"/>
      <c r="FU53" s="102"/>
      <c r="FV53" s="102"/>
      <c r="FW53" s="102"/>
      <c r="FX53" s="102"/>
      <c r="FY53" s="102"/>
      <c r="FZ53" s="102"/>
      <c r="GA53" s="102"/>
      <c r="GB53" s="102"/>
      <c r="GC53" s="102"/>
      <c r="GD53" s="102"/>
      <c r="GE53" s="102"/>
      <c r="GF53" s="102"/>
      <c r="GG53" s="102"/>
      <c r="GH53" s="102"/>
      <c r="GI53" s="102"/>
      <c r="GJ53" s="102"/>
      <c r="GK53" s="102"/>
      <c r="GL53" s="102"/>
      <c r="GM53" s="102"/>
      <c r="GN53" s="102"/>
      <c r="GO53" s="102"/>
      <c r="GP53" s="102"/>
      <c r="GQ53" s="102"/>
      <c r="GR53" s="102"/>
      <c r="GS53" s="102"/>
      <c r="GT53" s="102"/>
      <c r="GU53" s="102"/>
      <c r="GV53" s="102"/>
      <c r="GW53" s="102"/>
      <c r="GX53" s="102"/>
      <c r="GY53" s="102"/>
      <c r="GZ53" s="102"/>
      <c r="HA53" s="102"/>
      <c r="HB53" s="102"/>
      <c r="HC53" s="102"/>
      <c r="HD53" s="102"/>
      <c r="HE53" s="102"/>
      <c r="HF53" s="102"/>
      <c r="HG53" s="102"/>
      <c r="HH53" s="102"/>
      <c r="HI53" s="102"/>
      <c r="HJ53" s="102"/>
      <c r="HK53" s="102"/>
      <c r="HL53" s="102"/>
      <c r="HM53" s="102"/>
      <c r="HN53" s="102"/>
      <c r="HO53" s="102"/>
      <c r="HP53" s="102"/>
      <c r="HQ53" s="102"/>
      <c r="HR53" s="102"/>
      <c r="HS53" s="102"/>
      <c r="HT53" s="102"/>
      <c r="HU53" s="102"/>
      <c r="HV53" s="102"/>
      <c r="HW53" s="102"/>
      <c r="HX53" s="102"/>
      <c r="HY53" s="102"/>
      <c r="HZ53" s="102"/>
      <c r="IA53" s="102"/>
      <c r="IB53" s="102"/>
      <c r="IC53" s="102"/>
      <c r="ID53" s="102"/>
      <c r="IE53" s="102"/>
      <c r="IF53" s="102"/>
      <c r="IG53" s="102"/>
      <c r="IH53" s="102"/>
      <c r="II53" s="102"/>
      <c r="IJ53" s="102"/>
      <c r="IK53" s="102"/>
      <c r="IL53" s="102"/>
      <c r="IM53" s="102"/>
      <c r="IN53" s="102"/>
      <c r="IO53" s="102"/>
      <c r="IP53" s="102"/>
      <c r="IQ53" s="102"/>
      <c r="IR53" s="102"/>
      <c r="IS53" s="102"/>
      <c r="IT53" s="102"/>
      <c r="IU53" s="102"/>
      <c r="IV53" s="102"/>
      <c r="IW53" s="102"/>
      <c r="IX53" s="102"/>
      <c r="IY53" s="102"/>
      <c r="IZ53" s="102"/>
      <c r="JA53" s="102"/>
      <c r="JB53" s="102"/>
      <c r="JC53" s="102"/>
      <c r="JD53" s="102"/>
      <c r="JE53" s="102"/>
      <c r="JF53" s="102"/>
      <c r="JG53" s="102"/>
      <c r="JH53" s="102"/>
      <c r="JI53" s="102"/>
      <c r="JJ53" s="102"/>
      <c r="JK53" s="102"/>
      <c r="JL53" s="102"/>
      <c r="JM53" s="102"/>
      <c r="JN53" s="102"/>
      <c r="JO53" s="102"/>
      <c r="JP53" s="102"/>
      <c r="JQ53" s="102"/>
      <c r="JR53" s="102"/>
      <c r="JS53" s="102"/>
      <c r="JT53" s="102"/>
      <c r="JU53" s="102"/>
      <c r="JV53" s="102"/>
      <c r="JW53" s="102"/>
      <c r="JX53" s="102"/>
      <c r="JY53" s="102"/>
      <c r="JZ53" s="102"/>
      <c r="KA53" s="102"/>
      <c r="KB53" s="102"/>
      <c r="KC53" s="102"/>
      <c r="KD53" s="102"/>
      <c r="KE53" s="102"/>
      <c r="KF53" s="102"/>
      <c r="KG53" s="102"/>
      <c r="KH53" s="102"/>
      <c r="KI53" s="102"/>
      <c r="KJ53" s="102"/>
      <c r="KK53" s="102"/>
      <c r="KL53" s="102"/>
      <c r="KM53" s="102"/>
      <c r="KN53" s="102"/>
      <c r="KO53" s="102"/>
      <c r="KP53" s="102"/>
      <c r="KQ53" s="102"/>
      <c r="KR53" s="102"/>
      <c r="KS53" s="102"/>
      <c r="KT53" s="102"/>
      <c r="KU53" s="102"/>
      <c r="KV53" s="102"/>
      <c r="KW53" s="102"/>
      <c r="KX53" s="102"/>
      <c r="KY53" s="102"/>
      <c r="KZ53" s="102"/>
      <c r="LA53" s="102"/>
      <c r="LB53" s="102"/>
      <c r="LC53" s="102"/>
      <c r="LD53" s="102"/>
      <c r="LE53" s="102"/>
      <c r="LF53" s="102"/>
      <c r="LG53" s="102"/>
      <c r="LH53" s="102"/>
      <c r="LI53" s="102"/>
      <c r="LJ53" s="102"/>
      <c r="LK53" s="102"/>
      <c r="LL53" s="102"/>
      <c r="LM53" s="102"/>
      <c r="LN53" s="102"/>
      <c r="LO53" s="102"/>
      <c r="LP53" s="102"/>
      <c r="LQ53" s="102"/>
      <c r="LR53" s="102"/>
      <c r="LS53" s="102"/>
      <c r="LT53" s="102"/>
      <c r="LU53" s="102"/>
      <c r="LV53" s="102"/>
      <c r="LW53" s="102"/>
      <c r="LX53" s="102"/>
      <c r="LY53" s="102"/>
    </row>
    <row r="54" ht="15" customHeight="1">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c r="DT54" s="102"/>
      <c r="DU54" s="102"/>
      <c r="DV54" s="102"/>
      <c r="DW54" s="102"/>
      <c r="DX54" s="102"/>
      <c r="DY54" s="102"/>
      <c r="DZ54" s="102"/>
      <c r="EA54" s="102"/>
      <c r="EB54" s="102"/>
      <c r="EC54" s="102"/>
      <c r="ED54" s="102"/>
      <c r="EE54" s="102"/>
      <c r="EF54" s="102"/>
      <c r="EG54" s="102"/>
      <c r="EH54" s="102"/>
      <c r="EI54" s="102"/>
      <c r="EJ54" s="102"/>
      <c r="EK54" s="102"/>
      <c r="EL54" s="102"/>
      <c r="EM54" s="102"/>
      <c r="EN54" s="102"/>
      <c r="EO54" s="102"/>
      <c r="EP54" s="102"/>
      <c r="EQ54" s="102"/>
      <c r="ER54" s="102"/>
      <c r="ES54" s="102"/>
      <c r="ET54" s="102"/>
      <c r="EU54" s="102"/>
      <c r="EV54" s="102"/>
      <c r="EW54" s="102"/>
      <c r="EX54" s="102"/>
      <c r="EY54" s="102"/>
      <c r="EZ54" s="102"/>
      <c r="FA54" s="102"/>
      <c r="FB54" s="102"/>
      <c r="FC54" s="102"/>
      <c r="FD54" s="102"/>
      <c r="FE54" s="102"/>
      <c r="FF54" s="102"/>
      <c r="FG54" s="102"/>
      <c r="FH54" s="102"/>
      <c r="FI54" s="102"/>
      <c r="FJ54" s="102"/>
      <c r="FK54" s="102"/>
      <c r="FL54" s="102"/>
      <c r="FM54" s="102"/>
      <c r="FN54" s="102"/>
      <c r="FO54" s="102"/>
      <c r="FP54" s="102"/>
      <c r="FQ54" s="102"/>
      <c r="FR54" s="102"/>
      <c r="FS54" s="102"/>
      <c r="FT54" s="102"/>
      <c r="FU54" s="102"/>
      <c r="FV54" s="102"/>
      <c r="FW54" s="102"/>
      <c r="FX54" s="102"/>
      <c r="FY54" s="102"/>
      <c r="FZ54" s="102"/>
      <c r="GA54" s="102"/>
      <c r="GB54" s="102"/>
      <c r="GC54" s="102"/>
      <c r="GD54" s="102"/>
      <c r="GE54" s="102"/>
      <c r="GF54" s="102"/>
      <c r="GG54" s="102"/>
      <c r="GH54" s="102"/>
      <c r="GI54" s="102"/>
      <c r="GJ54" s="102"/>
      <c r="GK54" s="102"/>
      <c r="GL54" s="102"/>
      <c r="GM54" s="102"/>
      <c r="GN54" s="102"/>
      <c r="GO54" s="102"/>
      <c r="GP54" s="102"/>
      <c r="GQ54" s="102"/>
      <c r="GR54" s="102"/>
      <c r="GS54" s="102"/>
      <c r="GT54" s="102"/>
      <c r="GU54" s="102"/>
      <c r="GV54" s="102"/>
      <c r="GW54" s="102"/>
      <c r="GX54" s="102"/>
      <c r="GY54" s="102"/>
      <c r="GZ54" s="102"/>
      <c r="HA54" s="102"/>
      <c r="HB54" s="102"/>
      <c r="HC54" s="102"/>
      <c r="HD54" s="102"/>
      <c r="HE54" s="102"/>
      <c r="HF54" s="102"/>
      <c r="HG54" s="102"/>
      <c r="HH54" s="102"/>
      <c r="HI54" s="102"/>
      <c r="HJ54" s="102"/>
      <c r="HK54" s="102"/>
      <c r="HL54" s="102"/>
      <c r="HM54" s="102"/>
      <c r="HN54" s="102"/>
      <c r="HO54" s="102"/>
      <c r="HP54" s="102"/>
      <c r="HQ54" s="102"/>
      <c r="HR54" s="102"/>
      <c r="HS54" s="102"/>
      <c r="HT54" s="102"/>
      <c r="HU54" s="102"/>
      <c r="HV54" s="102"/>
      <c r="HW54" s="102"/>
      <c r="HX54" s="102"/>
      <c r="HY54" s="102"/>
      <c r="HZ54" s="102"/>
      <c r="IA54" s="102"/>
      <c r="IB54" s="102"/>
      <c r="IC54" s="102"/>
      <c r="ID54" s="102"/>
      <c r="IE54" s="102"/>
      <c r="IF54" s="102"/>
      <c r="IG54" s="102"/>
      <c r="IH54" s="102"/>
      <c r="II54" s="102"/>
      <c r="IJ54" s="102"/>
      <c r="IK54" s="102"/>
      <c r="IL54" s="102"/>
      <c r="IM54" s="102"/>
      <c r="IN54" s="102"/>
      <c r="IO54" s="102"/>
      <c r="IP54" s="102"/>
      <c r="IQ54" s="102"/>
      <c r="IR54" s="102"/>
      <c r="IS54" s="102"/>
      <c r="IT54" s="102"/>
      <c r="IU54" s="102"/>
      <c r="IV54" s="102"/>
      <c r="IW54" s="102"/>
      <c r="IX54" s="102"/>
      <c r="IY54" s="102"/>
      <c r="IZ54" s="102"/>
      <c r="JA54" s="102"/>
      <c r="JB54" s="102"/>
      <c r="JC54" s="102"/>
      <c r="JD54" s="102"/>
      <c r="JE54" s="102"/>
      <c r="JF54" s="102"/>
      <c r="JG54" s="102"/>
      <c r="JH54" s="102"/>
      <c r="JI54" s="102"/>
      <c r="JJ54" s="102"/>
      <c r="JK54" s="102"/>
      <c r="JL54" s="102"/>
      <c r="JM54" s="102"/>
      <c r="JN54" s="102"/>
      <c r="JO54" s="102"/>
      <c r="JP54" s="102"/>
      <c r="JQ54" s="102"/>
      <c r="JR54" s="102"/>
      <c r="JS54" s="102"/>
      <c r="JT54" s="102"/>
      <c r="JU54" s="102"/>
      <c r="JV54" s="102"/>
      <c r="JW54" s="102"/>
      <c r="JX54" s="102"/>
      <c r="JY54" s="102"/>
      <c r="JZ54" s="102"/>
      <c r="KA54" s="102"/>
      <c r="KB54" s="102"/>
      <c r="KC54" s="102"/>
      <c r="KD54" s="102"/>
      <c r="KE54" s="102"/>
      <c r="KF54" s="102"/>
      <c r="KG54" s="102"/>
      <c r="KH54" s="102"/>
      <c r="KI54" s="102"/>
      <c r="KJ54" s="102"/>
      <c r="KK54" s="102"/>
      <c r="KL54" s="102"/>
      <c r="KM54" s="102"/>
      <c r="KN54" s="102"/>
      <c r="KO54" s="102"/>
      <c r="KP54" s="102"/>
      <c r="KQ54" s="102"/>
      <c r="KR54" s="102"/>
      <c r="KS54" s="102"/>
      <c r="KT54" s="102"/>
      <c r="KU54" s="102"/>
      <c r="KV54" s="102"/>
      <c r="KW54" s="102"/>
      <c r="KX54" s="102"/>
      <c r="KY54" s="102"/>
      <c r="KZ54" s="102"/>
      <c r="LA54" s="102"/>
      <c r="LB54" s="102"/>
      <c r="LC54" s="102"/>
      <c r="LD54" s="102"/>
      <c r="LE54" s="102"/>
      <c r="LF54" s="102"/>
      <c r="LG54" s="102"/>
      <c r="LH54" s="102"/>
      <c r="LI54" s="102"/>
      <c r="LJ54" s="102"/>
      <c r="LK54" s="102"/>
      <c r="LL54" s="102"/>
      <c r="LM54" s="102"/>
      <c r="LN54" s="102"/>
      <c r="LO54" s="102"/>
      <c r="LP54" s="102"/>
      <c r="LQ54" s="102"/>
      <c r="LR54" s="102"/>
      <c r="LS54" s="102"/>
      <c r="LT54" s="102"/>
      <c r="LU54" s="102"/>
      <c r="LV54" s="102"/>
      <c r="LW54" s="102"/>
      <c r="LX54" s="102"/>
      <c r="LY54" s="102"/>
    </row>
    <row r="55" ht="15" customHeight="1">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c r="DT55" s="102"/>
      <c r="DU55" s="102"/>
      <c r="DV55" s="102"/>
      <c r="DW55" s="102"/>
      <c r="DX55" s="102"/>
      <c r="DY55" s="102"/>
      <c r="DZ55" s="102"/>
      <c r="EA55" s="102"/>
      <c r="EB55" s="102"/>
      <c r="EC55" s="102"/>
      <c r="ED55" s="102"/>
      <c r="EE55" s="102"/>
      <c r="EF55" s="102"/>
      <c r="EG55" s="102"/>
      <c r="EH55" s="102"/>
      <c r="EI55" s="102"/>
      <c r="EJ55" s="102"/>
      <c r="EK55" s="102"/>
      <c r="EL55" s="102"/>
      <c r="EM55" s="102"/>
      <c r="EN55" s="102"/>
      <c r="EO55" s="102"/>
      <c r="EP55" s="102"/>
      <c r="EQ55" s="102"/>
      <c r="ER55" s="102"/>
      <c r="ES55" s="102"/>
      <c r="ET55" s="102"/>
      <c r="EU55" s="102"/>
      <c r="EV55" s="102"/>
      <c r="EW55" s="102"/>
      <c r="EX55" s="102"/>
      <c r="EY55" s="102"/>
      <c r="EZ55" s="102"/>
      <c r="FA55" s="102"/>
      <c r="FB55" s="102"/>
      <c r="FC55" s="102"/>
      <c r="FD55" s="102"/>
      <c r="FE55" s="102"/>
      <c r="FF55" s="102"/>
      <c r="FG55" s="102"/>
      <c r="FH55" s="102"/>
      <c r="FI55" s="102"/>
      <c r="FJ55" s="102"/>
      <c r="FK55" s="102"/>
      <c r="FL55" s="102"/>
      <c r="FM55" s="102"/>
      <c r="FN55" s="102"/>
      <c r="FO55" s="102"/>
      <c r="FP55" s="102"/>
      <c r="FQ55" s="102"/>
      <c r="FR55" s="102"/>
      <c r="FS55" s="102"/>
      <c r="FT55" s="102"/>
      <c r="FU55" s="102"/>
      <c r="FV55" s="102"/>
      <c r="FW55" s="102"/>
      <c r="FX55" s="102"/>
      <c r="FY55" s="102"/>
      <c r="FZ55" s="102"/>
      <c r="GA55" s="102"/>
      <c r="GB55" s="102"/>
      <c r="GC55" s="102"/>
      <c r="GD55" s="102"/>
      <c r="GE55" s="102"/>
      <c r="GF55" s="102"/>
      <c r="GG55" s="102"/>
      <c r="GH55" s="102"/>
      <c r="GI55" s="102"/>
      <c r="GJ55" s="102"/>
      <c r="GK55" s="102"/>
      <c r="GL55" s="102"/>
      <c r="GM55" s="102"/>
      <c r="GN55" s="102"/>
      <c r="GO55" s="102"/>
      <c r="GP55" s="102"/>
      <c r="GQ55" s="102"/>
      <c r="GR55" s="102"/>
      <c r="GS55" s="102"/>
      <c r="GT55" s="102"/>
      <c r="GU55" s="102"/>
      <c r="GV55" s="102"/>
      <c r="GW55" s="102"/>
      <c r="GX55" s="102"/>
      <c r="GY55" s="102"/>
      <c r="GZ55" s="102"/>
      <c r="HA55" s="102"/>
      <c r="HB55" s="102"/>
      <c r="HC55" s="102"/>
      <c r="HD55" s="102"/>
      <c r="HE55" s="102"/>
      <c r="HF55" s="102"/>
      <c r="HG55" s="102"/>
      <c r="HH55" s="102"/>
      <c r="HI55" s="102"/>
      <c r="HJ55" s="102"/>
      <c r="HK55" s="102"/>
      <c r="HL55" s="102"/>
      <c r="HM55" s="102"/>
      <c r="HN55" s="102"/>
      <c r="HO55" s="102"/>
      <c r="HP55" s="102"/>
      <c r="HQ55" s="102"/>
      <c r="HR55" s="102"/>
      <c r="HS55" s="102"/>
      <c r="HT55" s="102"/>
      <c r="HU55" s="102"/>
      <c r="HV55" s="102"/>
      <c r="HW55" s="102"/>
      <c r="HX55" s="102"/>
      <c r="HY55" s="102"/>
      <c r="HZ55" s="102"/>
      <c r="IA55" s="102"/>
      <c r="IB55" s="102"/>
      <c r="IC55" s="102"/>
      <c r="ID55" s="102"/>
      <c r="IE55" s="102"/>
      <c r="IF55" s="102"/>
      <c r="IG55" s="102"/>
      <c r="IH55" s="102"/>
      <c r="II55" s="102"/>
      <c r="IJ55" s="102"/>
      <c r="IK55" s="102"/>
      <c r="IL55" s="102"/>
      <c r="IM55" s="102"/>
      <c r="IN55" s="102"/>
      <c r="IO55" s="102"/>
      <c r="IP55" s="102"/>
      <c r="IQ55" s="102"/>
      <c r="IR55" s="102"/>
      <c r="IS55" s="102"/>
      <c r="IT55" s="102"/>
      <c r="IU55" s="102"/>
      <c r="IV55" s="102"/>
      <c r="IW55" s="102"/>
      <c r="IX55" s="102"/>
      <c r="IY55" s="102"/>
      <c r="IZ55" s="102"/>
      <c r="JA55" s="102"/>
      <c r="JB55" s="102"/>
      <c r="JC55" s="102"/>
      <c r="JD55" s="102"/>
      <c r="JE55" s="102"/>
      <c r="JF55" s="102"/>
      <c r="JG55" s="102"/>
      <c r="JH55" s="102"/>
      <c r="JI55" s="102"/>
      <c r="JJ55" s="102"/>
      <c r="JK55" s="102"/>
      <c r="JL55" s="102"/>
      <c r="JM55" s="102"/>
      <c r="JN55" s="102"/>
      <c r="JO55" s="102"/>
      <c r="JP55" s="102"/>
      <c r="JQ55" s="102"/>
      <c r="JR55" s="102"/>
      <c r="JS55" s="102"/>
      <c r="JT55" s="102"/>
      <c r="JU55" s="102"/>
      <c r="JV55" s="102"/>
      <c r="JW55" s="102"/>
      <c r="JX55" s="102"/>
      <c r="JY55" s="102"/>
      <c r="JZ55" s="102"/>
      <c r="KA55" s="102"/>
      <c r="KB55" s="102"/>
      <c r="KC55" s="102"/>
      <c r="KD55" s="102"/>
      <c r="KE55" s="102"/>
      <c r="KF55" s="102"/>
      <c r="KG55" s="102"/>
      <c r="KH55" s="102"/>
      <c r="KI55" s="102"/>
      <c r="KJ55" s="102"/>
      <c r="KK55" s="102"/>
      <c r="KL55" s="102"/>
      <c r="KM55" s="102"/>
      <c r="KN55" s="102"/>
      <c r="KO55" s="102"/>
      <c r="KP55" s="102"/>
      <c r="KQ55" s="102"/>
      <c r="KR55" s="102"/>
      <c r="KS55" s="102"/>
      <c r="KT55" s="102"/>
      <c r="KU55" s="102"/>
      <c r="KV55" s="102"/>
      <c r="KW55" s="102"/>
      <c r="KX55" s="102"/>
      <c r="KY55" s="102"/>
      <c r="KZ55" s="102"/>
      <c r="LA55" s="102"/>
      <c r="LB55" s="102"/>
      <c r="LC55" s="102"/>
      <c r="LD55" s="102"/>
      <c r="LE55" s="102"/>
      <c r="LF55" s="102"/>
      <c r="LG55" s="102"/>
      <c r="LH55" s="102"/>
      <c r="LI55" s="102"/>
      <c r="LJ55" s="102"/>
      <c r="LK55" s="102"/>
      <c r="LL55" s="102"/>
      <c r="LM55" s="102"/>
      <c r="LN55" s="102"/>
      <c r="LO55" s="102"/>
      <c r="LP55" s="102"/>
      <c r="LQ55" s="102"/>
      <c r="LR55" s="102"/>
      <c r="LS55" s="102"/>
      <c r="LT55" s="102"/>
      <c r="LU55" s="102"/>
      <c r="LV55" s="102"/>
      <c r="LW55" s="102"/>
      <c r="LX55" s="102"/>
      <c r="LY55" s="102"/>
    </row>
    <row r="56" ht="15" customHeight="1">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c r="DT56" s="102"/>
      <c r="DU56" s="102"/>
      <c r="DV56" s="102"/>
      <c r="DW56" s="102"/>
      <c r="DX56" s="102"/>
      <c r="DY56" s="102"/>
      <c r="DZ56" s="102"/>
      <c r="EA56" s="102"/>
      <c r="EB56" s="102"/>
      <c r="EC56" s="102"/>
      <c r="ED56" s="102"/>
      <c r="EE56" s="102"/>
      <c r="EF56" s="102"/>
      <c r="EG56" s="102"/>
      <c r="EH56" s="102"/>
      <c r="EI56" s="102"/>
      <c r="EJ56" s="102"/>
      <c r="EK56" s="102"/>
      <c r="EL56" s="102"/>
      <c r="EM56" s="102"/>
      <c r="EN56" s="102"/>
      <c r="EO56" s="102"/>
      <c r="EP56" s="102"/>
      <c r="EQ56" s="102"/>
      <c r="ER56" s="102"/>
      <c r="ES56" s="102"/>
      <c r="ET56" s="102"/>
      <c r="EU56" s="102"/>
      <c r="EV56" s="102"/>
      <c r="EW56" s="102"/>
      <c r="EX56" s="102"/>
      <c r="EY56" s="102"/>
      <c r="EZ56" s="102"/>
      <c r="FA56" s="102"/>
      <c r="FB56" s="102"/>
      <c r="FC56" s="102"/>
      <c r="FD56" s="102"/>
      <c r="FE56" s="102"/>
      <c r="FF56" s="102"/>
      <c r="FG56" s="102"/>
      <c r="FH56" s="102"/>
      <c r="FI56" s="102"/>
      <c r="FJ56" s="102"/>
      <c r="FK56" s="102"/>
      <c r="FL56" s="102"/>
      <c r="FM56" s="102"/>
      <c r="FN56" s="102"/>
      <c r="FO56" s="102"/>
      <c r="FP56" s="102"/>
      <c r="FQ56" s="102"/>
      <c r="FR56" s="102"/>
      <c r="FS56" s="102"/>
      <c r="FT56" s="102"/>
      <c r="FU56" s="102"/>
      <c r="FV56" s="102"/>
      <c r="FW56" s="102"/>
      <c r="FX56" s="102"/>
      <c r="FY56" s="102"/>
      <c r="FZ56" s="102"/>
      <c r="GA56" s="102"/>
      <c r="GB56" s="102"/>
      <c r="GC56" s="102"/>
      <c r="GD56" s="102"/>
      <c r="GE56" s="102"/>
      <c r="GF56" s="102"/>
      <c r="GG56" s="102"/>
      <c r="GH56" s="102"/>
      <c r="GI56" s="102"/>
      <c r="GJ56" s="102"/>
      <c r="GK56" s="102"/>
      <c r="GL56" s="102"/>
      <c r="GM56" s="102"/>
      <c r="GN56" s="102"/>
      <c r="GO56" s="102"/>
      <c r="GP56" s="102"/>
      <c r="GQ56" s="102"/>
      <c r="GR56" s="102"/>
      <c r="GS56" s="102"/>
      <c r="GT56" s="102"/>
      <c r="GU56" s="102"/>
      <c r="GV56" s="102"/>
      <c r="GW56" s="102"/>
      <c r="GX56" s="102"/>
      <c r="GY56" s="102"/>
      <c r="GZ56" s="102"/>
      <c r="HA56" s="102"/>
      <c r="HB56" s="102"/>
      <c r="HC56" s="102"/>
      <c r="HD56" s="102"/>
      <c r="HE56" s="102"/>
      <c r="HF56" s="102"/>
      <c r="HG56" s="102"/>
      <c r="HH56" s="102"/>
      <c r="HI56" s="102"/>
      <c r="HJ56" s="102"/>
      <c r="HK56" s="102"/>
      <c r="HL56" s="102"/>
      <c r="HM56" s="102"/>
      <c r="HN56" s="102"/>
      <c r="HO56" s="102"/>
      <c r="HP56" s="102"/>
      <c r="HQ56" s="102"/>
      <c r="HR56" s="102"/>
      <c r="HS56" s="102"/>
      <c r="HT56" s="102"/>
      <c r="HU56" s="102"/>
      <c r="HV56" s="102"/>
      <c r="HW56" s="102"/>
      <c r="HX56" s="102"/>
      <c r="HY56" s="102"/>
      <c r="HZ56" s="102"/>
      <c r="IA56" s="102"/>
      <c r="IB56" s="102"/>
      <c r="IC56" s="102"/>
      <c r="ID56" s="102"/>
      <c r="IE56" s="102"/>
      <c r="IF56" s="102"/>
      <c r="IG56" s="102"/>
      <c r="IH56" s="102"/>
      <c r="II56" s="102"/>
      <c r="IJ56" s="102"/>
      <c r="IK56" s="102"/>
      <c r="IL56" s="102"/>
      <c r="IM56" s="102"/>
      <c r="IN56" s="102"/>
      <c r="IO56" s="102"/>
      <c r="IP56" s="102"/>
      <c r="IQ56" s="102"/>
      <c r="IR56" s="102"/>
      <c r="IS56" s="102"/>
      <c r="IT56" s="102"/>
      <c r="IU56" s="102"/>
      <c r="IV56" s="102"/>
      <c r="IW56" s="102"/>
      <c r="IX56" s="102"/>
      <c r="IY56" s="102"/>
      <c r="IZ56" s="102"/>
      <c r="JA56" s="102"/>
      <c r="JB56" s="102"/>
      <c r="JC56" s="102"/>
      <c r="JD56" s="102"/>
      <c r="JE56" s="102"/>
      <c r="JF56" s="102"/>
      <c r="JG56" s="102"/>
      <c r="JH56" s="102"/>
      <c r="JI56" s="102"/>
      <c r="JJ56" s="102"/>
      <c r="JK56" s="102"/>
      <c r="JL56" s="102"/>
      <c r="JM56" s="102"/>
      <c r="JN56" s="102"/>
      <c r="JO56" s="102"/>
      <c r="JP56" s="102"/>
      <c r="JQ56" s="102"/>
      <c r="JR56" s="102"/>
      <c r="JS56" s="102"/>
      <c r="JT56" s="102"/>
      <c r="JU56" s="102"/>
      <c r="JV56" s="102"/>
      <c r="JW56" s="102"/>
      <c r="JX56" s="102"/>
      <c r="JY56" s="102"/>
      <c r="JZ56" s="102"/>
      <c r="KA56" s="102"/>
      <c r="KB56" s="102"/>
      <c r="KC56" s="102"/>
      <c r="KD56" s="102"/>
      <c r="KE56" s="102"/>
      <c r="KF56" s="102"/>
      <c r="KG56" s="102"/>
      <c r="KH56" s="102"/>
      <c r="KI56" s="102"/>
      <c r="KJ56" s="102"/>
      <c r="KK56" s="102"/>
      <c r="KL56" s="102"/>
      <c r="KM56" s="102"/>
      <c r="KN56" s="102"/>
      <c r="KO56" s="102"/>
      <c r="KP56" s="102"/>
      <c r="KQ56" s="102"/>
      <c r="KR56" s="102"/>
      <c r="KS56" s="102"/>
      <c r="KT56" s="102"/>
      <c r="KU56" s="102"/>
      <c r="KV56" s="102"/>
      <c r="KW56" s="102"/>
      <c r="KX56" s="102"/>
      <c r="KY56" s="102"/>
      <c r="KZ56" s="102"/>
      <c r="LA56" s="102"/>
      <c r="LB56" s="102"/>
      <c r="LC56" s="102"/>
      <c r="LD56" s="102"/>
      <c r="LE56" s="102"/>
      <c r="LF56" s="102"/>
      <c r="LG56" s="102"/>
      <c r="LH56" s="102"/>
      <c r="LI56" s="102"/>
      <c r="LJ56" s="102"/>
      <c r="LK56" s="102"/>
      <c r="LL56" s="102"/>
      <c r="LM56" s="102"/>
      <c r="LN56" s="102"/>
      <c r="LO56" s="102"/>
      <c r="LP56" s="102"/>
      <c r="LQ56" s="102"/>
      <c r="LR56" s="102"/>
      <c r="LS56" s="102"/>
      <c r="LT56" s="102"/>
      <c r="LU56" s="102"/>
      <c r="LV56" s="102"/>
      <c r="LW56" s="102"/>
      <c r="LX56" s="102"/>
      <c r="LY56" s="102"/>
    </row>
    <row r="57" ht="15" customHeight="1">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c r="EO57" s="102"/>
      <c r="EP57" s="102"/>
      <c r="EQ57" s="102"/>
      <c r="ER57" s="102"/>
      <c r="ES57" s="102"/>
      <c r="ET57" s="102"/>
      <c r="EU57" s="102"/>
      <c r="EV57" s="102"/>
      <c r="EW57" s="102"/>
      <c r="EX57" s="102"/>
      <c r="EY57" s="102"/>
      <c r="EZ57" s="102"/>
      <c r="FA57" s="102"/>
      <c r="FB57" s="102"/>
      <c r="FC57" s="102"/>
      <c r="FD57" s="102"/>
      <c r="FE57" s="102"/>
      <c r="FF57" s="102"/>
      <c r="FG57" s="102"/>
      <c r="FH57" s="102"/>
      <c r="FI57" s="102"/>
      <c r="FJ57" s="102"/>
      <c r="FK57" s="102"/>
      <c r="FL57" s="102"/>
      <c r="FM57" s="102"/>
      <c r="FN57" s="102"/>
      <c r="FO57" s="102"/>
      <c r="FP57" s="102"/>
      <c r="FQ57" s="102"/>
      <c r="FR57" s="102"/>
      <c r="FS57" s="102"/>
      <c r="FT57" s="102"/>
      <c r="FU57" s="102"/>
      <c r="FV57" s="102"/>
      <c r="FW57" s="102"/>
      <c r="FX57" s="102"/>
      <c r="FY57" s="102"/>
      <c r="FZ57" s="102"/>
      <c r="GA57" s="102"/>
      <c r="GB57" s="102"/>
      <c r="GC57" s="102"/>
      <c r="GD57" s="102"/>
      <c r="GE57" s="102"/>
      <c r="GF57" s="102"/>
      <c r="GG57" s="102"/>
      <c r="GH57" s="102"/>
      <c r="GI57" s="102"/>
      <c r="GJ57" s="102"/>
      <c r="GK57" s="102"/>
      <c r="GL57" s="102"/>
      <c r="GM57" s="102"/>
      <c r="GN57" s="102"/>
      <c r="GO57" s="102"/>
      <c r="GP57" s="102"/>
      <c r="GQ57" s="102"/>
      <c r="GR57" s="102"/>
      <c r="GS57" s="102"/>
      <c r="GT57" s="102"/>
      <c r="GU57" s="102"/>
      <c r="GV57" s="102"/>
      <c r="GW57" s="102"/>
      <c r="GX57" s="102"/>
      <c r="GY57" s="102"/>
      <c r="GZ57" s="102"/>
      <c r="HA57" s="102"/>
      <c r="HB57" s="102"/>
      <c r="HC57" s="102"/>
      <c r="HD57" s="102"/>
      <c r="HE57" s="102"/>
      <c r="HF57" s="102"/>
      <c r="HG57" s="102"/>
      <c r="HH57" s="102"/>
      <c r="HI57" s="102"/>
      <c r="HJ57" s="102"/>
      <c r="HK57" s="102"/>
      <c r="HL57" s="102"/>
      <c r="HM57" s="102"/>
      <c r="HN57" s="102"/>
      <c r="HO57" s="102"/>
      <c r="HP57" s="102"/>
      <c r="HQ57" s="102"/>
      <c r="HR57" s="102"/>
      <c r="HS57" s="102"/>
      <c r="HT57" s="102"/>
      <c r="HU57" s="102"/>
      <c r="HV57" s="102"/>
      <c r="HW57" s="102"/>
      <c r="HX57" s="102"/>
      <c r="HY57" s="102"/>
      <c r="HZ57" s="102"/>
      <c r="IA57" s="102"/>
      <c r="IB57" s="102"/>
      <c r="IC57" s="102"/>
      <c r="ID57" s="102"/>
      <c r="IE57" s="102"/>
      <c r="IF57" s="102"/>
      <c r="IG57" s="102"/>
      <c r="IH57" s="102"/>
      <c r="II57" s="102"/>
      <c r="IJ57" s="102"/>
      <c r="IK57" s="102"/>
      <c r="IL57" s="102"/>
      <c r="IM57" s="102"/>
      <c r="IN57" s="102"/>
      <c r="IO57" s="102"/>
      <c r="IP57" s="102"/>
      <c r="IQ57" s="102"/>
      <c r="IR57" s="102"/>
      <c r="IS57" s="102"/>
      <c r="IT57" s="102"/>
      <c r="IU57" s="102"/>
      <c r="IV57" s="102"/>
      <c r="IW57" s="102"/>
      <c r="IX57" s="102"/>
      <c r="IY57" s="102"/>
      <c r="IZ57" s="102"/>
      <c r="JA57" s="102"/>
      <c r="JB57" s="102"/>
      <c r="JC57" s="102"/>
      <c r="JD57" s="102"/>
      <c r="JE57" s="102"/>
      <c r="JF57" s="102"/>
      <c r="JG57" s="102"/>
      <c r="JH57" s="102"/>
      <c r="JI57" s="102"/>
      <c r="JJ57" s="102"/>
      <c r="JK57" s="102"/>
      <c r="JL57" s="102"/>
      <c r="JM57" s="102"/>
      <c r="JN57" s="102"/>
      <c r="JO57" s="102"/>
      <c r="JP57" s="102"/>
      <c r="JQ57" s="102"/>
      <c r="JR57" s="102"/>
      <c r="JS57" s="102"/>
      <c r="JT57" s="102"/>
      <c r="JU57" s="102"/>
      <c r="JV57" s="102"/>
      <c r="JW57" s="102"/>
      <c r="JX57" s="102"/>
      <c r="JY57" s="102"/>
      <c r="JZ57" s="102"/>
      <c r="KA57" s="102"/>
      <c r="KB57" s="102"/>
      <c r="KC57" s="102"/>
      <c r="KD57" s="102"/>
      <c r="KE57" s="102"/>
      <c r="KF57" s="102"/>
      <c r="KG57" s="102"/>
      <c r="KH57" s="102"/>
      <c r="KI57" s="102"/>
      <c r="KJ57" s="102"/>
      <c r="KK57" s="102"/>
      <c r="KL57" s="102"/>
      <c r="KM57" s="102"/>
      <c r="KN57" s="102"/>
      <c r="KO57" s="102"/>
      <c r="KP57" s="102"/>
      <c r="KQ57" s="102"/>
      <c r="KR57" s="102"/>
      <c r="KS57" s="102"/>
      <c r="KT57" s="102"/>
      <c r="KU57" s="102"/>
      <c r="KV57" s="102"/>
      <c r="KW57" s="102"/>
      <c r="KX57" s="102"/>
      <c r="KY57" s="102"/>
      <c r="KZ57" s="102"/>
      <c r="LA57" s="102"/>
      <c r="LB57" s="102"/>
      <c r="LC57" s="102"/>
      <c r="LD57" s="102"/>
      <c r="LE57" s="102"/>
      <c r="LF57" s="102"/>
      <c r="LG57" s="102"/>
      <c r="LH57" s="102"/>
      <c r="LI57" s="102"/>
      <c r="LJ57" s="102"/>
      <c r="LK57" s="102"/>
      <c r="LL57" s="102"/>
      <c r="LM57" s="102"/>
      <c r="LN57" s="102"/>
      <c r="LO57" s="102"/>
      <c r="LP57" s="102"/>
      <c r="LQ57" s="102"/>
      <c r="LR57" s="102"/>
      <c r="LS57" s="102"/>
      <c r="LT57" s="102"/>
      <c r="LU57" s="102"/>
      <c r="LV57" s="102"/>
      <c r="LW57" s="102"/>
      <c r="LX57" s="102"/>
      <c r="LY57" s="102"/>
    </row>
    <row r="58" ht="15" customHeight="1">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c r="DT58" s="102"/>
      <c r="DU58" s="102"/>
      <c r="DV58" s="102"/>
      <c r="DW58" s="102"/>
      <c r="DX58" s="102"/>
      <c r="DY58" s="102"/>
      <c r="DZ58" s="102"/>
      <c r="EA58" s="102"/>
      <c r="EB58" s="102"/>
      <c r="EC58" s="102"/>
      <c r="ED58" s="102"/>
      <c r="EE58" s="102"/>
      <c r="EF58" s="102"/>
      <c r="EG58" s="102"/>
      <c r="EH58" s="102"/>
      <c r="EI58" s="102"/>
      <c r="EJ58" s="102"/>
      <c r="EK58" s="102"/>
      <c r="EL58" s="102"/>
      <c r="EM58" s="102"/>
      <c r="EN58" s="102"/>
      <c r="EO58" s="102"/>
      <c r="EP58" s="102"/>
      <c r="EQ58" s="102"/>
      <c r="ER58" s="102"/>
      <c r="ES58" s="102"/>
      <c r="ET58" s="102"/>
      <c r="EU58" s="102"/>
      <c r="EV58" s="102"/>
      <c r="EW58" s="102"/>
      <c r="EX58" s="102"/>
      <c r="EY58" s="102"/>
      <c r="EZ58" s="102"/>
      <c r="FA58" s="102"/>
      <c r="FB58" s="102"/>
      <c r="FC58" s="102"/>
      <c r="FD58" s="102"/>
      <c r="FE58" s="102"/>
      <c r="FF58" s="102"/>
      <c r="FG58" s="102"/>
      <c r="FH58" s="102"/>
      <c r="FI58" s="102"/>
      <c r="FJ58" s="102"/>
      <c r="FK58" s="102"/>
      <c r="FL58" s="102"/>
      <c r="FM58" s="102"/>
      <c r="FN58" s="102"/>
      <c r="FO58" s="102"/>
      <c r="FP58" s="102"/>
      <c r="FQ58" s="102"/>
      <c r="FR58" s="102"/>
      <c r="FS58" s="102"/>
      <c r="FT58" s="102"/>
      <c r="FU58" s="102"/>
      <c r="FV58" s="102"/>
      <c r="FW58" s="102"/>
      <c r="FX58" s="102"/>
      <c r="FY58" s="102"/>
      <c r="FZ58" s="102"/>
      <c r="GA58" s="102"/>
      <c r="GB58" s="102"/>
      <c r="GC58" s="102"/>
      <c r="GD58" s="102"/>
      <c r="GE58" s="102"/>
      <c r="GF58" s="102"/>
      <c r="GG58" s="102"/>
      <c r="GH58" s="102"/>
      <c r="GI58" s="102"/>
      <c r="GJ58" s="102"/>
      <c r="GK58" s="102"/>
      <c r="GL58" s="102"/>
      <c r="GM58" s="102"/>
      <c r="GN58" s="102"/>
      <c r="GO58" s="102"/>
      <c r="GP58" s="102"/>
      <c r="GQ58" s="102"/>
      <c r="GR58" s="102"/>
      <c r="GS58" s="102"/>
      <c r="GT58" s="102"/>
      <c r="GU58" s="102"/>
      <c r="GV58" s="102"/>
      <c r="GW58" s="102"/>
      <c r="GX58" s="102"/>
      <c r="GY58" s="102"/>
      <c r="GZ58" s="102"/>
      <c r="HA58" s="102"/>
      <c r="HB58" s="102"/>
      <c r="HC58" s="102"/>
      <c r="HD58" s="102"/>
      <c r="HE58" s="102"/>
      <c r="HF58" s="102"/>
      <c r="HG58" s="102"/>
      <c r="HH58" s="102"/>
      <c r="HI58" s="102"/>
      <c r="HJ58" s="102"/>
      <c r="HK58" s="102"/>
      <c r="HL58" s="102"/>
      <c r="HM58" s="102"/>
      <c r="HN58" s="102"/>
      <c r="HO58" s="102"/>
      <c r="HP58" s="102"/>
      <c r="HQ58" s="102"/>
      <c r="HR58" s="102"/>
      <c r="HS58" s="102"/>
      <c r="HT58" s="102"/>
      <c r="HU58" s="102"/>
      <c r="HV58" s="102"/>
      <c r="HW58" s="102"/>
      <c r="HX58" s="102"/>
      <c r="HY58" s="102"/>
      <c r="HZ58" s="102"/>
      <c r="IA58" s="102"/>
      <c r="IB58" s="102"/>
      <c r="IC58" s="102"/>
      <c r="ID58" s="102"/>
      <c r="IE58" s="102"/>
      <c r="IF58" s="102"/>
      <c r="IG58" s="102"/>
      <c r="IH58" s="102"/>
      <c r="II58" s="102"/>
      <c r="IJ58" s="102"/>
      <c r="IK58" s="102"/>
      <c r="IL58" s="102"/>
      <c r="IM58" s="102"/>
      <c r="IN58" s="102"/>
      <c r="IO58" s="102"/>
      <c r="IP58" s="102"/>
      <c r="IQ58" s="102"/>
      <c r="IR58" s="102"/>
      <c r="IS58" s="102"/>
      <c r="IT58" s="102"/>
      <c r="IU58" s="102"/>
      <c r="IV58" s="102"/>
      <c r="IW58" s="102"/>
      <c r="IX58" s="102"/>
      <c r="IY58" s="102"/>
      <c r="IZ58" s="102"/>
      <c r="JA58" s="102"/>
      <c r="JB58" s="102"/>
      <c r="JC58" s="102"/>
      <c r="JD58" s="102"/>
      <c r="JE58" s="102"/>
      <c r="JF58" s="102"/>
      <c r="JG58" s="102"/>
      <c r="JH58" s="102"/>
      <c r="JI58" s="102"/>
      <c r="JJ58" s="102"/>
      <c r="JK58" s="102"/>
      <c r="JL58" s="102"/>
      <c r="JM58" s="102"/>
      <c r="JN58" s="102"/>
      <c r="JO58" s="102"/>
      <c r="JP58" s="102"/>
      <c r="JQ58" s="102"/>
      <c r="JR58" s="102"/>
      <c r="JS58" s="102"/>
      <c r="JT58" s="102"/>
      <c r="JU58" s="102"/>
      <c r="JV58" s="102"/>
      <c r="JW58" s="102"/>
      <c r="JX58" s="102"/>
      <c r="JY58" s="102"/>
      <c r="JZ58" s="102"/>
      <c r="KA58" s="102"/>
      <c r="KB58" s="102"/>
      <c r="KC58" s="102"/>
      <c r="KD58" s="102"/>
      <c r="KE58" s="102"/>
      <c r="KF58" s="102"/>
      <c r="KG58" s="102"/>
      <c r="KH58" s="102"/>
      <c r="KI58" s="102"/>
      <c r="KJ58" s="102"/>
      <c r="KK58" s="102"/>
      <c r="KL58" s="102"/>
      <c r="KM58" s="102"/>
      <c r="KN58" s="102"/>
      <c r="KO58" s="102"/>
      <c r="KP58" s="102"/>
      <c r="KQ58" s="102"/>
      <c r="KR58" s="102"/>
      <c r="KS58" s="102"/>
      <c r="KT58" s="102"/>
      <c r="KU58" s="102"/>
      <c r="KV58" s="102"/>
      <c r="KW58" s="102"/>
      <c r="KX58" s="102"/>
      <c r="KY58" s="102"/>
      <c r="KZ58" s="102"/>
      <c r="LA58" s="102"/>
      <c r="LB58" s="102"/>
      <c r="LC58" s="102"/>
      <c r="LD58" s="102"/>
      <c r="LE58" s="102"/>
      <c r="LF58" s="102"/>
      <c r="LG58" s="102"/>
      <c r="LH58" s="102"/>
      <c r="LI58" s="102"/>
      <c r="LJ58" s="102"/>
      <c r="LK58" s="102"/>
      <c r="LL58" s="102"/>
      <c r="LM58" s="102"/>
      <c r="LN58" s="102"/>
      <c r="LO58" s="102"/>
      <c r="LP58" s="102"/>
      <c r="LQ58" s="102"/>
      <c r="LR58" s="102"/>
      <c r="LS58" s="102"/>
      <c r="LT58" s="102"/>
      <c r="LU58" s="102"/>
      <c r="LV58" s="102"/>
      <c r="LW58" s="102"/>
      <c r="LX58" s="102"/>
      <c r="LY58" s="102"/>
    </row>
    <row r="59" ht="15" customHeight="1">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c r="EB59" s="102"/>
      <c r="EC59" s="102"/>
      <c r="ED59" s="102"/>
      <c r="EE59" s="102"/>
      <c r="EF59" s="102"/>
      <c r="EG59" s="102"/>
      <c r="EH59" s="102"/>
      <c r="EI59" s="102"/>
      <c r="EJ59" s="102"/>
      <c r="EK59" s="102"/>
      <c r="EL59" s="102"/>
      <c r="EM59" s="102"/>
      <c r="EN59" s="102"/>
      <c r="EO59" s="102"/>
      <c r="EP59" s="102"/>
      <c r="EQ59" s="102"/>
      <c r="ER59" s="102"/>
      <c r="ES59" s="102"/>
      <c r="ET59" s="102"/>
      <c r="EU59" s="102"/>
      <c r="EV59" s="102"/>
      <c r="EW59" s="102"/>
      <c r="EX59" s="102"/>
      <c r="EY59" s="102"/>
      <c r="EZ59" s="102"/>
      <c r="FA59" s="102"/>
      <c r="FB59" s="102"/>
      <c r="FC59" s="102"/>
      <c r="FD59" s="102"/>
      <c r="FE59" s="102"/>
      <c r="FF59" s="102"/>
      <c r="FG59" s="102"/>
      <c r="FH59" s="102"/>
      <c r="FI59" s="102"/>
      <c r="FJ59" s="102"/>
      <c r="FK59" s="102"/>
      <c r="FL59" s="102"/>
      <c r="FM59" s="102"/>
      <c r="FN59" s="102"/>
      <c r="FO59" s="102"/>
      <c r="FP59" s="102"/>
      <c r="FQ59" s="102"/>
      <c r="FR59" s="102"/>
      <c r="FS59" s="102"/>
      <c r="FT59" s="102"/>
      <c r="FU59" s="102"/>
      <c r="FV59" s="102"/>
      <c r="FW59" s="102"/>
      <c r="FX59" s="102"/>
      <c r="FY59" s="102"/>
      <c r="FZ59" s="102"/>
      <c r="GA59" s="102"/>
      <c r="GB59" s="102"/>
      <c r="GC59" s="102"/>
      <c r="GD59" s="102"/>
      <c r="GE59" s="102"/>
      <c r="GF59" s="102"/>
      <c r="GG59" s="102"/>
      <c r="GH59" s="102"/>
      <c r="GI59" s="102"/>
      <c r="GJ59" s="102"/>
      <c r="GK59" s="102"/>
      <c r="GL59" s="102"/>
      <c r="GM59" s="102"/>
      <c r="GN59" s="102"/>
      <c r="GO59" s="102"/>
      <c r="GP59" s="102"/>
      <c r="GQ59" s="102"/>
      <c r="GR59" s="102"/>
      <c r="GS59" s="102"/>
      <c r="GT59" s="102"/>
      <c r="GU59" s="102"/>
      <c r="GV59" s="102"/>
      <c r="GW59" s="102"/>
      <c r="GX59" s="102"/>
      <c r="GY59" s="102"/>
      <c r="GZ59" s="102"/>
      <c r="HA59" s="102"/>
      <c r="HB59" s="102"/>
      <c r="HC59" s="102"/>
      <c r="HD59" s="102"/>
      <c r="HE59" s="102"/>
      <c r="HF59" s="102"/>
      <c r="HG59" s="102"/>
      <c r="HH59" s="102"/>
      <c r="HI59" s="102"/>
      <c r="HJ59" s="102"/>
      <c r="HK59" s="102"/>
      <c r="HL59" s="102"/>
      <c r="HM59" s="102"/>
      <c r="HN59" s="102"/>
      <c r="HO59" s="102"/>
      <c r="HP59" s="102"/>
      <c r="HQ59" s="102"/>
      <c r="HR59" s="102"/>
      <c r="HS59" s="102"/>
      <c r="HT59" s="102"/>
      <c r="HU59" s="102"/>
      <c r="HV59" s="102"/>
      <c r="HW59" s="102"/>
      <c r="HX59" s="102"/>
      <c r="HY59" s="102"/>
      <c r="HZ59" s="102"/>
      <c r="IA59" s="102"/>
      <c r="IB59" s="102"/>
      <c r="IC59" s="102"/>
      <c r="ID59" s="102"/>
      <c r="IE59" s="102"/>
      <c r="IF59" s="102"/>
      <c r="IG59" s="102"/>
      <c r="IH59" s="102"/>
      <c r="II59" s="102"/>
      <c r="IJ59" s="102"/>
      <c r="IK59" s="102"/>
      <c r="IL59" s="102"/>
      <c r="IM59" s="102"/>
      <c r="IN59" s="102"/>
      <c r="IO59" s="102"/>
      <c r="IP59" s="102"/>
      <c r="IQ59" s="102"/>
      <c r="IR59" s="102"/>
      <c r="IS59" s="102"/>
      <c r="IT59" s="102"/>
      <c r="IU59" s="102"/>
      <c r="IV59" s="102"/>
      <c r="IW59" s="102"/>
      <c r="IX59" s="102"/>
      <c r="IY59" s="102"/>
      <c r="IZ59" s="102"/>
      <c r="JA59" s="102"/>
      <c r="JB59" s="102"/>
      <c r="JC59" s="102"/>
      <c r="JD59" s="102"/>
      <c r="JE59" s="102"/>
      <c r="JF59" s="102"/>
      <c r="JG59" s="102"/>
      <c r="JH59" s="102"/>
      <c r="JI59" s="102"/>
      <c r="JJ59" s="102"/>
      <c r="JK59" s="102"/>
      <c r="JL59" s="102"/>
      <c r="JM59" s="102"/>
      <c r="JN59" s="102"/>
      <c r="JO59" s="102"/>
      <c r="JP59" s="102"/>
      <c r="JQ59" s="102"/>
      <c r="JR59" s="102"/>
      <c r="JS59" s="102"/>
      <c r="JT59" s="102"/>
      <c r="JU59" s="102"/>
      <c r="JV59" s="102"/>
      <c r="JW59" s="102"/>
      <c r="JX59" s="102"/>
      <c r="JY59" s="102"/>
      <c r="JZ59" s="102"/>
      <c r="KA59" s="102"/>
      <c r="KB59" s="102"/>
      <c r="KC59" s="102"/>
      <c r="KD59" s="102"/>
      <c r="KE59" s="102"/>
      <c r="KF59" s="102"/>
      <c r="KG59" s="102"/>
      <c r="KH59" s="102"/>
      <c r="KI59" s="102"/>
      <c r="KJ59" s="102"/>
      <c r="KK59" s="102"/>
      <c r="KL59" s="102"/>
      <c r="KM59" s="102"/>
      <c r="KN59" s="102"/>
      <c r="KO59" s="102"/>
      <c r="KP59" s="102"/>
      <c r="KQ59" s="102"/>
      <c r="KR59" s="102"/>
      <c r="KS59" s="102"/>
      <c r="KT59" s="102"/>
      <c r="KU59" s="102"/>
      <c r="KV59" s="102"/>
      <c r="KW59" s="102"/>
      <c r="KX59" s="102"/>
      <c r="KY59" s="102"/>
      <c r="KZ59" s="102"/>
      <c r="LA59" s="102"/>
      <c r="LB59" s="102"/>
      <c r="LC59" s="102"/>
      <c r="LD59" s="102"/>
      <c r="LE59" s="102"/>
      <c r="LF59" s="102"/>
      <c r="LG59" s="102"/>
      <c r="LH59" s="102"/>
      <c r="LI59" s="102"/>
      <c r="LJ59" s="102"/>
      <c r="LK59" s="102"/>
      <c r="LL59" s="102"/>
      <c r="LM59" s="102"/>
      <c r="LN59" s="102"/>
      <c r="LO59" s="102"/>
      <c r="LP59" s="102"/>
      <c r="LQ59" s="102"/>
      <c r="LR59" s="102"/>
      <c r="LS59" s="102"/>
      <c r="LT59" s="102"/>
      <c r="LU59" s="102"/>
      <c r="LV59" s="102"/>
      <c r="LW59" s="102"/>
      <c r="LX59" s="102"/>
      <c r="LY59" s="102"/>
    </row>
    <row r="60" ht="15" customHeight="1">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c r="EB60" s="102"/>
      <c r="EC60" s="102"/>
      <c r="ED60" s="102"/>
      <c r="EE60" s="102"/>
      <c r="EF60" s="102"/>
      <c r="EG60" s="102"/>
      <c r="EH60" s="102"/>
      <c r="EI60" s="102"/>
      <c r="EJ60" s="102"/>
      <c r="EK60" s="102"/>
      <c r="EL60" s="102"/>
      <c r="EM60" s="102"/>
      <c r="EN60" s="102"/>
      <c r="EO60" s="102"/>
      <c r="EP60" s="102"/>
      <c r="EQ60" s="102"/>
      <c r="ER60" s="102"/>
      <c r="ES60" s="102"/>
      <c r="ET60" s="102"/>
      <c r="EU60" s="102"/>
      <c r="EV60" s="102"/>
      <c r="EW60" s="102"/>
      <c r="EX60" s="102"/>
      <c r="EY60" s="102"/>
      <c r="EZ60" s="102"/>
      <c r="FA60" s="102"/>
      <c r="FB60" s="102"/>
      <c r="FC60" s="102"/>
      <c r="FD60" s="102"/>
      <c r="FE60" s="102"/>
      <c r="FF60" s="102"/>
      <c r="FG60" s="102"/>
      <c r="FH60" s="102"/>
      <c r="FI60" s="102"/>
      <c r="FJ60" s="102"/>
      <c r="FK60" s="102"/>
      <c r="FL60" s="102"/>
      <c r="FM60" s="102"/>
      <c r="FN60" s="102"/>
      <c r="FO60" s="102"/>
      <c r="FP60" s="102"/>
      <c r="FQ60" s="102"/>
      <c r="FR60" s="102"/>
      <c r="FS60" s="102"/>
      <c r="FT60" s="102"/>
      <c r="FU60" s="102"/>
      <c r="FV60" s="102"/>
      <c r="FW60" s="102"/>
      <c r="FX60" s="102"/>
      <c r="FY60" s="102"/>
      <c r="FZ60" s="102"/>
      <c r="GA60" s="102"/>
      <c r="GB60" s="102"/>
      <c r="GC60" s="102"/>
      <c r="GD60" s="102"/>
      <c r="GE60" s="102"/>
      <c r="GF60" s="102"/>
      <c r="GG60" s="102"/>
      <c r="GH60" s="102"/>
      <c r="GI60" s="102"/>
      <c r="GJ60" s="102"/>
      <c r="GK60" s="102"/>
      <c r="GL60" s="102"/>
      <c r="GM60" s="102"/>
      <c r="GN60" s="102"/>
      <c r="GO60" s="102"/>
      <c r="GP60" s="102"/>
      <c r="GQ60" s="102"/>
      <c r="GR60" s="102"/>
      <c r="GS60" s="102"/>
      <c r="GT60" s="102"/>
      <c r="GU60" s="102"/>
      <c r="GV60" s="102"/>
      <c r="GW60" s="102"/>
      <c r="GX60" s="102"/>
      <c r="GY60" s="102"/>
      <c r="GZ60" s="102"/>
      <c r="HA60" s="102"/>
      <c r="HB60" s="102"/>
      <c r="HC60" s="102"/>
      <c r="HD60" s="102"/>
      <c r="HE60" s="102"/>
      <c r="HF60" s="102"/>
      <c r="HG60" s="102"/>
      <c r="HH60" s="102"/>
      <c r="HI60" s="102"/>
      <c r="HJ60" s="102"/>
      <c r="HK60" s="102"/>
      <c r="HL60" s="102"/>
      <c r="HM60" s="102"/>
      <c r="HN60" s="102"/>
      <c r="HO60" s="102"/>
      <c r="HP60" s="102"/>
      <c r="HQ60" s="102"/>
      <c r="HR60" s="102"/>
      <c r="HS60" s="102"/>
      <c r="HT60" s="102"/>
      <c r="HU60" s="102"/>
      <c r="HV60" s="102"/>
      <c r="HW60" s="102"/>
      <c r="HX60" s="102"/>
      <c r="HY60" s="102"/>
      <c r="HZ60" s="102"/>
      <c r="IA60" s="102"/>
      <c r="IB60" s="102"/>
      <c r="IC60" s="102"/>
      <c r="ID60" s="102"/>
      <c r="IE60" s="102"/>
      <c r="IF60" s="102"/>
      <c r="IG60" s="102"/>
      <c r="IH60" s="102"/>
      <c r="II60" s="102"/>
      <c r="IJ60" s="102"/>
      <c r="IK60" s="102"/>
      <c r="IL60" s="102"/>
      <c r="IM60" s="102"/>
      <c r="IN60" s="102"/>
      <c r="IO60" s="102"/>
      <c r="IP60" s="102"/>
      <c r="IQ60" s="102"/>
      <c r="IR60" s="102"/>
      <c r="IS60" s="102"/>
      <c r="IT60" s="102"/>
      <c r="IU60" s="102"/>
      <c r="IV60" s="102"/>
      <c r="IW60" s="102"/>
      <c r="IX60" s="102"/>
      <c r="IY60" s="102"/>
      <c r="IZ60" s="102"/>
      <c r="JA60" s="102"/>
      <c r="JB60" s="102"/>
      <c r="JC60" s="102"/>
      <c r="JD60" s="102"/>
      <c r="JE60" s="102"/>
      <c r="JF60" s="102"/>
      <c r="JG60" s="102"/>
      <c r="JH60" s="102"/>
      <c r="JI60" s="102"/>
      <c r="JJ60" s="102"/>
      <c r="JK60" s="102"/>
      <c r="JL60" s="102"/>
      <c r="JM60" s="102"/>
      <c r="JN60" s="102"/>
      <c r="JO60" s="102"/>
      <c r="JP60" s="102"/>
      <c r="JQ60" s="102"/>
      <c r="JR60" s="102"/>
      <c r="JS60" s="102"/>
      <c r="JT60" s="102"/>
      <c r="JU60" s="102"/>
      <c r="JV60" s="102"/>
      <c r="JW60" s="102"/>
      <c r="JX60" s="102"/>
      <c r="JY60" s="102"/>
      <c r="JZ60" s="102"/>
      <c r="KA60" s="102"/>
      <c r="KB60" s="102"/>
      <c r="KC60" s="102"/>
      <c r="KD60" s="102"/>
      <c r="KE60" s="102"/>
      <c r="KF60" s="102"/>
      <c r="KG60" s="102"/>
      <c r="KH60" s="102"/>
      <c r="KI60" s="102"/>
      <c r="KJ60" s="102"/>
      <c r="KK60" s="102"/>
      <c r="KL60" s="102"/>
      <c r="KM60" s="102"/>
      <c r="KN60" s="102"/>
      <c r="KO60" s="102"/>
      <c r="KP60" s="102"/>
      <c r="KQ60" s="102"/>
      <c r="KR60" s="102"/>
      <c r="KS60" s="102"/>
      <c r="KT60" s="102"/>
      <c r="KU60" s="102"/>
      <c r="KV60" s="102"/>
      <c r="KW60" s="102"/>
      <c r="KX60" s="102"/>
      <c r="KY60" s="102"/>
      <c r="KZ60" s="102"/>
      <c r="LA60" s="102"/>
      <c r="LB60" s="102"/>
      <c r="LC60" s="102"/>
      <c r="LD60" s="102"/>
      <c r="LE60" s="102"/>
      <c r="LF60" s="102"/>
      <c r="LG60" s="102"/>
      <c r="LH60" s="102"/>
      <c r="LI60" s="102"/>
      <c r="LJ60" s="102"/>
      <c r="LK60" s="102"/>
      <c r="LL60" s="102"/>
      <c r="LM60" s="102"/>
      <c r="LN60" s="102"/>
      <c r="LO60" s="102"/>
      <c r="LP60" s="102"/>
      <c r="LQ60" s="102"/>
      <c r="LR60" s="102"/>
      <c r="LS60" s="102"/>
      <c r="LT60" s="102"/>
      <c r="LU60" s="102"/>
      <c r="LV60" s="102"/>
      <c r="LW60" s="102"/>
      <c r="LX60" s="102"/>
      <c r="LY60" s="102"/>
    </row>
    <row r="61" ht="15" customHeight="1">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c r="EO61" s="102"/>
      <c r="EP61" s="102"/>
      <c r="EQ61" s="102"/>
      <c r="ER61" s="102"/>
      <c r="ES61" s="102"/>
      <c r="ET61" s="102"/>
      <c r="EU61" s="102"/>
      <c r="EV61" s="102"/>
      <c r="EW61" s="102"/>
      <c r="EX61" s="102"/>
      <c r="EY61" s="102"/>
      <c r="EZ61" s="102"/>
      <c r="FA61" s="102"/>
      <c r="FB61" s="102"/>
      <c r="FC61" s="102"/>
      <c r="FD61" s="102"/>
      <c r="FE61" s="102"/>
      <c r="FF61" s="102"/>
      <c r="FG61" s="102"/>
      <c r="FH61" s="102"/>
      <c r="FI61" s="102"/>
      <c r="FJ61" s="102"/>
      <c r="FK61" s="102"/>
      <c r="FL61" s="102"/>
      <c r="FM61" s="102"/>
      <c r="FN61" s="102"/>
      <c r="FO61" s="102"/>
      <c r="FP61" s="102"/>
      <c r="FQ61" s="102"/>
      <c r="FR61" s="102"/>
      <c r="FS61" s="102"/>
      <c r="FT61" s="102"/>
      <c r="FU61" s="102"/>
      <c r="FV61" s="102"/>
      <c r="FW61" s="102"/>
      <c r="FX61" s="102"/>
      <c r="FY61" s="102"/>
      <c r="FZ61" s="102"/>
      <c r="GA61" s="102"/>
      <c r="GB61" s="102"/>
      <c r="GC61" s="102"/>
      <c r="GD61" s="102"/>
      <c r="GE61" s="102"/>
      <c r="GF61" s="102"/>
      <c r="GG61" s="102"/>
      <c r="GH61" s="102"/>
      <c r="GI61" s="102"/>
      <c r="GJ61" s="102"/>
      <c r="GK61" s="102"/>
      <c r="GL61" s="102"/>
      <c r="GM61" s="102"/>
      <c r="GN61" s="102"/>
      <c r="GO61" s="102"/>
      <c r="GP61" s="102"/>
      <c r="GQ61" s="102"/>
      <c r="GR61" s="102"/>
      <c r="GS61" s="102"/>
      <c r="GT61" s="102"/>
      <c r="GU61" s="102"/>
      <c r="GV61" s="102"/>
      <c r="GW61" s="102"/>
      <c r="GX61" s="102"/>
      <c r="GY61" s="102"/>
      <c r="GZ61" s="102"/>
      <c r="HA61" s="102"/>
      <c r="HB61" s="102"/>
      <c r="HC61" s="102"/>
      <c r="HD61" s="102"/>
      <c r="HE61" s="102"/>
      <c r="HF61" s="102"/>
      <c r="HG61" s="102"/>
      <c r="HH61" s="102"/>
      <c r="HI61" s="102"/>
      <c r="HJ61" s="102"/>
      <c r="HK61" s="102"/>
      <c r="HL61" s="102"/>
      <c r="HM61" s="102"/>
      <c r="HN61" s="102"/>
      <c r="HO61" s="102"/>
      <c r="HP61" s="102"/>
      <c r="HQ61" s="102"/>
      <c r="HR61" s="102"/>
      <c r="HS61" s="102"/>
      <c r="HT61" s="102"/>
      <c r="HU61" s="102"/>
      <c r="HV61" s="102"/>
      <c r="HW61" s="102"/>
      <c r="HX61" s="102"/>
      <c r="HY61" s="102"/>
      <c r="HZ61" s="102"/>
      <c r="IA61" s="102"/>
      <c r="IB61" s="102"/>
      <c r="IC61" s="102"/>
      <c r="ID61" s="102"/>
      <c r="IE61" s="102"/>
      <c r="IF61" s="102"/>
      <c r="IG61" s="102"/>
      <c r="IH61" s="102"/>
      <c r="II61" s="102"/>
      <c r="IJ61" s="102"/>
      <c r="IK61" s="102"/>
      <c r="IL61" s="102"/>
      <c r="IM61" s="102"/>
      <c r="IN61" s="102"/>
      <c r="IO61" s="102"/>
      <c r="IP61" s="102"/>
      <c r="IQ61" s="102"/>
      <c r="IR61" s="102"/>
      <c r="IS61" s="102"/>
      <c r="IT61" s="102"/>
      <c r="IU61" s="102"/>
      <c r="IV61" s="102"/>
      <c r="IW61" s="102"/>
      <c r="IX61" s="102"/>
      <c r="IY61" s="102"/>
      <c r="IZ61" s="102"/>
      <c r="JA61" s="102"/>
      <c r="JB61" s="102"/>
      <c r="JC61" s="102"/>
      <c r="JD61" s="102"/>
      <c r="JE61" s="102"/>
      <c r="JF61" s="102"/>
      <c r="JG61" s="102"/>
      <c r="JH61" s="102"/>
      <c r="JI61" s="102"/>
      <c r="JJ61" s="102"/>
      <c r="JK61" s="102"/>
      <c r="JL61" s="102"/>
      <c r="JM61" s="102"/>
      <c r="JN61" s="102"/>
      <c r="JO61" s="102"/>
      <c r="JP61" s="102"/>
      <c r="JQ61" s="102"/>
      <c r="JR61" s="102"/>
      <c r="JS61" s="102"/>
      <c r="JT61" s="102"/>
      <c r="JU61" s="102"/>
      <c r="JV61" s="102"/>
      <c r="JW61" s="102"/>
      <c r="JX61" s="102"/>
      <c r="JY61" s="102"/>
      <c r="JZ61" s="102"/>
      <c r="KA61" s="102"/>
      <c r="KB61" s="102"/>
      <c r="KC61" s="102"/>
      <c r="KD61" s="102"/>
      <c r="KE61" s="102"/>
      <c r="KF61" s="102"/>
      <c r="KG61" s="102"/>
      <c r="KH61" s="102"/>
      <c r="KI61" s="102"/>
      <c r="KJ61" s="102"/>
      <c r="KK61" s="102"/>
      <c r="KL61" s="102"/>
      <c r="KM61" s="102"/>
      <c r="KN61" s="102"/>
      <c r="KO61" s="102"/>
      <c r="KP61" s="102"/>
      <c r="KQ61" s="102"/>
      <c r="KR61" s="102"/>
      <c r="KS61" s="102"/>
      <c r="KT61" s="102"/>
      <c r="KU61" s="102"/>
      <c r="KV61" s="102"/>
      <c r="KW61" s="102"/>
      <c r="KX61" s="102"/>
      <c r="KY61" s="102"/>
      <c r="KZ61" s="102"/>
      <c r="LA61" s="102"/>
      <c r="LB61" s="102"/>
      <c r="LC61" s="102"/>
      <c r="LD61" s="102"/>
      <c r="LE61" s="102"/>
      <c r="LF61" s="102"/>
      <c r="LG61" s="102"/>
      <c r="LH61" s="102"/>
      <c r="LI61" s="102"/>
      <c r="LJ61" s="102"/>
      <c r="LK61" s="102"/>
      <c r="LL61" s="102"/>
      <c r="LM61" s="102"/>
      <c r="LN61" s="102"/>
      <c r="LO61" s="102"/>
      <c r="LP61" s="102"/>
      <c r="LQ61" s="102"/>
      <c r="LR61" s="102"/>
      <c r="LS61" s="102"/>
      <c r="LT61" s="102"/>
      <c r="LU61" s="102"/>
      <c r="LV61" s="102"/>
      <c r="LW61" s="102"/>
      <c r="LX61" s="102"/>
      <c r="LY61" s="102"/>
    </row>
    <row r="62" ht="15" customHeight="1">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c r="DT62" s="102"/>
      <c r="DU62" s="102"/>
      <c r="DV62" s="102"/>
      <c r="DW62" s="102"/>
      <c r="DX62" s="102"/>
      <c r="DY62" s="102"/>
      <c r="DZ62" s="102"/>
      <c r="EA62" s="102"/>
      <c r="EB62" s="102"/>
      <c r="EC62" s="102"/>
      <c r="ED62" s="102"/>
      <c r="EE62" s="102"/>
      <c r="EF62" s="102"/>
      <c r="EG62" s="102"/>
      <c r="EH62" s="102"/>
      <c r="EI62" s="102"/>
      <c r="EJ62" s="102"/>
      <c r="EK62" s="102"/>
      <c r="EL62" s="102"/>
      <c r="EM62" s="102"/>
      <c r="EN62" s="102"/>
      <c r="EO62" s="102"/>
      <c r="EP62" s="102"/>
      <c r="EQ62" s="102"/>
      <c r="ER62" s="102"/>
      <c r="ES62" s="102"/>
      <c r="ET62" s="102"/>
      <c r="EU62" s="102"/>
      <c r="EV62" s="102"/>
      <c r="EW62" s="102"/>
      <c r="EX62" s="102"/>
      <c r="EY62" s="102"/>
      <c r="EZ62" s="102"/>
      <c r="FA62" s="102"/>
      <c r="FB62" s="102"/>
      <c r="FC62" s="102"/>
      <c r="FD62" s="102"/>
      <c r="FE62" s="102"/>
      <c r="FF62" s="102"/>
      <c r="FG62" s="102"/>
      <c r="FH62" s="102"/>
      <c r="FI62" s="102"/>
      <c r="FJ62" s="102"/>
      <c r="FK62" s="102"/>
      <c r="FL62" s="102"/>
      <c r="FM62" s="102"/>
      <c r="FN62" s="102"/>
      <c r="FO62" s="102"/>
      <c r="FP62" s="102"/>
      <c r="FQ62" s="102"/>
      <c r="FR62" s="102"/>
      <c r="FS62" s="102"/>
      <c r="FT62" s="102"/>
      <c r="FU62" s="102"/>
      <c r="FV62" s="102"/>
      <c r="FW62" s="102"/>
      <c r="FX62" s="102"/>
      <c r="FY62" s="102"/>
      <c r="FZ62" s="102"/>
      <c r="GA62" s="102"/>
      <c r="GB62" s="102"/>
      <c r="GC62" s="102"/>
      <c r="GD62" s="102"/>
      <c r="GE62" s="102"/>
      <c r="GF62" s="102"/>
      <c r="GG62" s="102"/>
      <c r="GH62" s="102"/>
      <c r="GI62" s="102"/>
      <c r="GJ62" s="102"/>
      <c r="GK62" s="102"/>
      <c r="GL62" s="102"/>
      <c r="GM62" s="102"/>
      <c r="GN62" s="102"/>
      <c r="GO62" s="102"/>
      <c r="GP62" s="102"/>
      <c r="GQ62" s="102"/>
      <c r="GR62" s="102"/>
      <c r="GS62" s="102"/>
      <c r="GT62" s="102"/>
      <c r="GU62" s="102"/>
      <c r="GV62" s="102"/>
      <c r="GW62" s="102"/>
      <c r="GX62" s="102"/>
      <c r="GY62" s="102"/>
      <c r="GZ62" s="102"/>
      <c r="HA62" s="102"/>
      <c r="HB62" s="102"/>
      <c r="HC62" s="102"/>
      <c r="HD62" s="102"/>
      <c r="HE62" s="102"/>
      <c r="HF62" s="102"/>
      <c r="HG62" s="102"/>
      <c r="HH62" s="102"/>
      <c r="HI62" s="102"/>
      <c r="HJ62" s="102"/>
      <c r="HK62" s="102"/>
      <c r="HL62" s="102"/>
      <c r="HM62" s="102"/>
      <c r="HN62" s="102"/>
      <c r="HO62" s="102"/>
      <c r="HP62" s="102"/>
      <c r="HQ62" s="102"/>
      <c r="HR62" s="102"/>
      <c r="HS62" s="102"/>
      <c r="HT62" s="102"/>
      <c r="HU62" s="102"/>
      <c r="HV62" s="102"/>
      <c r="HW62" s="102"/>
      <c r="HX62" s="102"/>
      <c r="HY62" s="102"/>
      <c r="HZ62" s="102"/>
      <c r="IA62" s="102"/>
      <c r="IB62" s="102"/>
      <c r="IC62" s="102"/>
      <c r="ID62" s="102"/>
      <c r="IE62" s="102"/>
      <c r="IF62" s="102"/>
      <c r="IG62" s="102"/>
      <c r="IH62" s="102"/>
      <c r="II62" s="102"/>
      <c r="IJ62" s="102"/>
      <c r="IK62" s="102"/>
      <c r="IL62" s="102"/>
      <c r="IM62" s="102"/>
      <c r="IN62" s="102"/>
      <c r="IO62" s="102"/>
      <c r="IP62" s="102"/>
      <c r="IQ62" s="102"/>
      <c r="IR62" s="102"/>
      <c r="IS62" s="102"/>
      <c r="IT62" s="102"/>
      <c r="IU62" s="102"/>
      <c r="IV62" s="102"/>
      <c r="IW62" s="102"/>
      <c r="IX62" s="102"/>
      <c r="IY62" s="102"/>
      <c r="IZ62" s="102"/>
      <c r="JA62" s="102"/>
      <c r="JB62" s="102"/>
      <c r="JC62" s="102"/>
      <c r="JD62" s="102"/>
      <c r="JE62" s="102"/>
      <c r="JF62" s="102"/>
      <c r="JG62" s="102"/>
      <c r="JH62" s="102"/>
      <c r="JI62" s="102"/>
      <c r="JJ62" s="102"/>
      <c r="JK62" s="102"/>
      <c r="JL62" s="102"/>
      <c r="JM62" s="102"/>
      <c r="JN62" s="102"/>
      <c r="JO62" s="102"/>
      <c r="JP62" s="102"/>
      <c r="JQ62" s="102"/>
      <c r="JR62" s="102"/>
      <c r="JS62" s="102"/>
      <c r="JT62" s="102"/>
      <c r="JU62" s="102"/>
      <c r="JV62" s="102"/>
      <c r="JW62" s="102"/>
      <c r="JX62" s="102"/>
      <c r="JY62" s="102"/>
      <c r="JZ62" s="102"/>
      <c r="KA62" s="102"/>
      <c r="KB62" s="102"/>
      <c r="KC62" s="102"/>
      <c r="KD62" s="102"/>
      <c r="KE62" s="102"/>
      <c r="KF62" s="102"/>
      <c r="KG62" s="102"/>
      <c r="KH62" s="102"/>
      <c r="KI62" s="102"/>
      <c r="KJ62" s="102"/>
      <c r="KK62" s="102"/>
      <c r="KL62" s="102"/>
      <c r="KM62" s="102"/>
      <c r="KN62" s="102"/>
      <c r="KO62" s="102"/>
      <c r="KP62" s="102"/>
      <c r="KQ62" s="102"/>
      <c r="KR62" s="102"/>
      <c r="KS62" s="102"/>
      <c r="KT62" s="102"/>
      <c r="KU62" s="102"/>
      <c r="KV62" s="102"/>
      <c r="KW62" s="102"/>
      <c r="KX62" s="102"/>
      <c r="KY62" s="102"/>
      <c r="KZ62" s="102"/>
      <c r="LA62" s="102"/>
      <c r="LB62" s="102"/>
      <c r="LC62" s="102"/>
      <c r="LD62" s="102"/>
      <c r="LE62" s="102"/>
      <c r="LF62" s="102"/>
      <c r="LG62" s="102"/>
      <c r="LH62" s="102"/>
      <c r="LI62" s="102"/>
      <c r="LJ62" s="102"/>
      <c r="LK62" s="102"/>
      <c r="LL62" s="102"/>
      <c r="LM62" s="102"/>
      <c r="LN62" s="102"/>
      <c r="LO62" s="102"/>
      <c r="LP62" s="102"/>
      <c r="LQ62" s="102"/>
      <c r="LR62" s="102"/>
      <c r="LS62" s="102"/>
      <c r="LT62" s="102"/>
      <c r="LU62" s="102"/>
      <c r="LV62" s="102"/>
      <c r="LW62" s="102"/>
      <c r="LX62" s="102"/>
      <c r="LY62" s="102"/>
    </row>
    <row r="63" ht="15" customHeight="1">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c r="EO63" s="102"/>
      <c r="EP63" s="102"/>
      <c r="EQ63" s="102"/>
      <c r="ER63" s="102"/>
      <c r="ES63" s="102"/>
      <c r="ET63" s="102"/>
      <c r="EU63" s="102"/>
      <c r="EV63" s="102"/>
      <c r="EW63" s="102"/>
      <c r="EX63" s="102"/>
      <c r="EY63" s="102"/>
      <c r="EZ63" s="102"/>
      <c r="FA63" s="102"/>
      <c r="FB63" s="102"/>
      <c r="FC63" s="102"/>
      <c r="FD63" s="102"/>
      <c r="FE63" s="102"/>
      <c r="FF63" s="102"/>
      <c r="FG63" s="102"/>
      <c r="FH63" s="102"/>
      <c r="FI63" s="102"/>
      <c r="FJ63" s="102"/>
      <c r="FK63" s="102"/>
      <c r="FL63" s="102"/>
      <c r="FM63" s="102"/>
      <c r="FN63" s="102"/>
      <c r="FO63" s="102"/>
      <c r="FP63" s="102"/>
      <c r="FQ63" s="102"/>
      <c r="FR63" s="102"/>
      <c r="FS63" s="102"/>
      <c r="FT63" s="102"/>
      <c r="FU63" s="102"/>
      <c r="FV63" s="102"/>
      <c r="FW63" s="102"/>
      <c r="FX63" s="102"/>
      <c r="FY63" s="102"/>
      <c r="FZ63" s="102"/>
      <c r="GA63" s="102"/>
      <c r="GB63" s="102"/>
      <c r="GC63" s="102"/>
      <c r="GD63" s="102"/>
      <c r="GE63" s="102"/>
      <c r="GF63" s="102"/>
      <c r="GG63" s="102"/>
      <c r="GH63" s="102"/>
      <c r="GI63" s="102"/>
      <c r="GJ63" s="102"/>
      <c r="GK63" s="102"/>
      <c r="GL63" s="102"/>
      <c r="GM63" s="102"/>
      <c r="GN63" s="102"/>
      <c r="GO63" s="102"/>
      <c r="GP63" s="102"/>
      <c r="GQ63" s="102"/>
      <c r="GR63" s="102"/>
      <c r="GS63" s="102"/>
      <c r="GT63" s="102"/>
      <c r="GU63" s="102"/>
      <c r="GV63" s="102"/>
      <c r="GW63" s="102"/>
      <c r="GX63" s="102"/>
      <c r="GY63" s="102"/>
      <c r="GZ63" s="102"/>
      <c r="HA63" s="102"/>
      <c r="HB63" s="102"/>
      <c r="HC63" s="102"/>
      <c r="HD63" s="102"/>
      <c r="HE63" s="102"/>
      <c r="HF63" s="102"/>
      <c r="HG63" s="102"/>
      <c r="HH63" s="102"/>
      <c r="HI63" s="102"/>
      <c r="HJ63" s="102"/>
      <c r="HK63" s="102"/>
      <c r="HL63" s="102"/>
      <c r="HM63" s="102"/>
      <c r="HN63" s="102"/>
      <c r="HO63" s="102"/>
      <c r="HP63" s="102"/>
      <c r="HQ63" s="102"/>
      <c r="HR63" s="102"/>
      <c r="HS63" s="102"/>
      <c r="HT63" s="102"/>
      <c r="HU63" s="102"/>
      <c r="HV63" s="102"/>
      <c r="HW63" s="102"/>
      <c r="HX63" s="102"/>
      <c r="HY63" s="102"/>
      <c r="HZ63" s="102"/>
      <c r="IA63" s="102"/>
      <c r="IB63" s="102"/>
      <c r="IC63" s="102"/>
      <c r="ID63" s="102"/>
      <c r="IE63" s="102"/>
      <c r="IF63" s="102"/>
      <c r="IG63" s="102"/>
      <c r="IH63" s="102"/>
      <c r="II63" s="102"/>
      <c r="IJ63" s="102"/>
      <c r="IK63" s="102"/>
      <c r="IL63" s="102"/>
      <c r="IM63" s="102"/>
      <c r="IN63" s="102"/>
      <c r="IO63" s="102"/>
      <c r="IP63" s="102"/>
      <c r="IQ63" s="102"/>
      <c r="IR63" s="102"/>
      <c r="IS63" s="102"/>
      <c r="IT63" s="102"/>
      <c r="IU63" s="102"/>
      <c r="IV63" s="102"/>
      <c r="IW63" s="102"/>
      <c r="IX63" s="102"/>
      <c r="IY63" s="102"/>
      <c r="IZ63" s="102"/>
      <c r="JA63" s="102"/>
      <c r="JB63" s="102"/>
      <c r="JC63" s="102"/>
      <c r="JD63" s="102"/>
      <c r="JE63" s="102"/>
      <c r="JF63" s="102"/>
      <c r="JG63" s="102"/>
      <c r="JH63" s="102"/>
      <c r="JI63" s="102"/>
      <c r="JJ63" s="102"/>
      <c r="JK63" s="102"/>
      <c r="JL63" s="102"/>
      <c r="JM63" s="102"/>
      <c r="JN63" s="102"/>
      <c r="JO63" s="102"/>
      <c r="JP63" s="102"/>
      <c r="JQ63" s="102"/>
      <c r="JR63" s="102"/>
      <c r="JS63" s="102"/>
      <c r="JT63" s="102"/>
      <c r="JU63" s="102"/>
      <c r="JV63" s="102"/>
      <c r="JW63" s="102"/>
      <c r="JX63" s="102"/>
      <c r="JY63" s="102"/>
      <c r="JZ63" s="102"/>
      <c r="KA63" s="102"/>
      <c r="KB63" s="102"/>
      <c r="KC63" s="102"/>
      <c r="KD63" s="102"/>
      <c r="KE63" s="102"/>
      <c r="KF63" s="102"/>
      <c r="KG63" s="102"/>
      <c r="KH63" s="102"/>
      <c r="KI63" s="102"/>
      <c r="KJ63" s="102"/>
      <c r="KK63" s="102"/>
      <c r="KL63" s="102"/>
      <c r="KM63" s="102"/>
      <c r="KN63" s="102"/>
      <c r="KO63" s="102"/>
      <c r="KP63" s="102"/>
      <c r="KQ63" s="102"/>
      <c r="KR63" s="102"/>
      <c r="KS63" s="102"/>
      <c r="KT63" s="102"/>
      <c r="KU63" s="102"/>
      <c r="KV63" s="102"/>
      <c r="KW63" s="102"/>
      <c r="KX63" s="102"/>
      <c r="KY63" s="102"/>
      <c r="KZ63" s="102"/>
      <c r="LA63" s="102"/>
      <c r="LB63" s="102"/>
      <c r="LC63" s="102"/>
      <c r="LD63" s="102"/>
      <c r="LE63" s="102"/>
      <c r="LF63" s="102"/>
      <c r="LG63" s="102"/>
      <c r="LH63" s="102"/>
      <c r="LI63" s="102"/>
      <c r="LJ63" s="102"/>
      <c r="LK63" s="102"/>
      <c r="LL63" s="102"/>
      <c r="LM63" s="102"/>
      <c r="LN63" s="102"/>
      <c r="LO63" s="102"/>
      <c r="LP63" s="102"/>
      <c r="LQ63" s="102"/>
      <c r="LR63" s="102"/>
      <c r="LS63" s="102"/>
      <c r="LT63" s="102"/>
      <c r="LU63" s="102"/>
      <c r="LV63" s="102"/>
      <c r="LW63" s="102"/>
      <c r="LX63" s="102"/>
      <c r="LY63" s="102"/>
    </row>
    <row r="64" ht="15" customHeight="1">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102"/>
      <c r="EM64" s="102"/>
      <c r="EN64" s="102"/>
      <c r="EO64" s="102"/>
      <c r="EP64" s="102"/>
      <c r="EQ64" s="102"/>
      <c r="ER64" s="102"/>
      <c r="ES64" s="102"/>
      <c r="ET64" s="102"/>
      <c r="EU64" s="102"/>
      <c r="EV64" s="102"/>
      <c r="EW64" s="102"/>
      <c r="EX64" s="102"/>
      <c r="EY64" s="102"/>
      <c r="EZ64" s="102"/>
      <c r="FA64" s="102"/>
      <c r="FB64" s="102"/>
      <c r="FC64" s="102"/>
      <c r="FD64" s="102"/>
      <c r="FE64" s="102"/>
      <c r="FF64" s="102"/>
      <c r="FG64" s="102"/>
      <c r="FH64" s="102"/>
      <c r="FI64" s="102"/>
      <c r="FJ64" s="102"/>
      <c r="FK64" s="102"/>
      <c r="FL64" s="102"/>
      <c r="FM64" s="102"/>
      <c r="FN64" s="102"/>
      <c r="FO64" s="102"/>
      <c r="FP64" s="102"/>
      <c r="FQ64" s="102"/>
      <c r="FR64" s="102"/>
      <c r="FS64" s="102"/>
      <c r="FT64" s="102"/>
      <c r="FU64" s="102"/>
      <c r="FV64" s="102"/>
      <c r="FW64" s="102"/>
      <c r="FX64" s="102"/>
      <c r="FY64" s="102"/>
      <c r="FZ64" s="102"/>
      <c r="GA64" s="102"/>
      <c r="GB64" s="102"/>
      <c r="GC64" s="102"/>
      <c r="GD64" s="102"/>
      <c r="GE64" s="102"/>
      <c r="GF64" s="102"/>
      <c r="GG64" s="102"/>
      <c r="GH64" s="102"/>
      <c r="GI64" s="102"/>
      <c r="GJ64" s="102"/>
      <c r="GK64" s="102"/>
      <c r="GL64" s="102"/>
      <c r="GM64" s="102"/>
      <c r="GN64" s="102"/>
      <c r="GO64" s="102"/>
      <c r="GP64" s="102"/>
      <c r="GQ64" s="102"/>
      <c r="GR64" s="102"/>
      <c r="GS64" s="102"/>
      <c r="GT64" s="102"/>
      <c r="GU64" s="102"/>
      <c r="GV64" s="102"/>
      <c r="GW64" s="102"/>
      <c r="GX64" s="102"/>
      <c r="GY64" s="102"/>
      <c r="GZ64" s="102"/>
      <c r="HA64" s="102"/>
      <c r="HB64" s="102"/>
      <c r="HC64" s="102"/>
      <c r="HD64" s="102"/>
      <c r="HE64" s="102"/>
      <c r="HF64" s="102"/>
      <c r="HG64" s="102"/>
      <c r="HH64" s="102"/>
      <c r="HI64" s="102"/>
      <c r="HJ64" s="102"/>
      <c r="HK64" s="102"/>
      <c r="HL64" s="102"/>
      <c r="HM64" s="102"/>
      <c r="HN64" s="102"/>
      <c r="HO64" s="102"/>
      <c r="HP64" s="102"/>
      <c r="HQ64" s="102"/>
      <c r="HR64" s="102"/>
      <c r="HS64" s="102"/>
      <c r="HT64" s="102"/>
      <c r="HU64" s="102"/>
      <c r="HV64" s="102"/>
      <c r="HW64" s="102"/>
      <c r="HX64" s="102"/>
      <c r="HY64" s="102"/>
      <c r="HZ64" s="102"/>
      <c r="IA64" s="102"/>
      <c r="IB64" s="102"/>
      <c r="IC64" s="102"/>
      <c r="ID64" s="102"/>
      <c r="IE64" s="102"/>
      <c r="IF64" s="102"/>
      <c r="IG64" s="102"/>
      <c r="IH64" s="102"/>
      <c r="II64" s="102"/>
      <c r="IJ64" s="102"/>
      <c r="IK64" s="102"/>
      <c r="IL64" s="102"/>
      <c r="IM64" s="102"/>
      <c r="IN64" s="102"/>
      <c r="IO64" s="102"/>
      <c r="IP64" s="102"/>
      <c r="IQ64" s="102"/>
      <c r="IR64" s="102"/>
      <c r="IS64" s="102"/>
      <c r="IT64" s="102"/>
      <c r="IU64" s="102"/>
      <c r="IV64" s="102"/>
      <c r="IW64" s="102"/>
      <c r="IX64" s="102"/>
      <c r="IY64" s="102"/>
      <c r="IZ64" s="102"/>
      <c r="JA64" s="102"/>
      <c r="JB64" s="102"/>
      <c r="JC64" s="102"/>
      <c r="JD64" s="102"/>
      <c r="JE64" s="102"/>
      <c r="JF64" s="102"/>
      <c r="JG64" s="102"/>
      <c r="JH64" s="102"/>
      <c r="JI64" s="102"/>
      <c r="JJ64" s="102"/>
      <c r="JK64" s="102"/>
      <c r="JL64" s="102"/>
      <c r="JM64" s="102"/>
      <c r="JN64" s="102"/>
      <c r="JO64" s="102"/>
      <c r="JP64" s="102"/>
      <c r="JQ64" s="102"/>
      <c r="JR64" s="102"/>
      <c r="JS64" s="102"/>
      <c r="JT64" s="102"/>
      <c r="JU64" s="102"/>
      <c r="JV64" s="102"/>
      <c r="JW64" s="102"/>
      <c r="JX64" s="102"/>
      <c r="JY64" s="102"/>
      <c r="JZ64" s="102"/>
      <c r="KA64" s="102"/>
      <c r="KB64" s="102"/>
      <c r="KC64" s="102"/>
      <c r="KD64" s="102"/>
      <c r="KE64" s="102"/>
      <c r="KF64" s="102"/>
      <c r="KG64" s="102"/>
      <c r="KH64" s="102"/>
      <c r="KI64" s="102"/>
      <c r="KJ64" s="102"/>
      <c r="KK64" s="102"/>
      <c r="KL64" s="102"/>
      <c r="KM64" s="102"/>
      <c r="KN64" s="102"/>
      <c r="KO64" s="102"/>
      <c r="KP64" s="102"/>
      <c r="KQ64" s="102"/>
      <c r="KR64" s="102"/>
      <c r="KS64" s="102"/>
      <c r="KT64" s="102"/>
      <c r="KU64" s="102"/>
      <c r="KV64" s="102"/>
      <c r="KW64" s="102"/>
      <c r="KX64" s="102"/>
      <c r="KY64" s="102"/>
      <c r="KZ64" s="102"/>
      <c r="LA64" s="102"/>
      <c r="LB64" s="102"/>
      <c r="LC64" s="102"/>
      <c r="LD64" s="102"/>
      <c r="LE64" s="102"/>
      <c r="LF64" s="102"/>
      <c r="LG64" s="102"/>
      <c r="LH64" s="102"/>
      <c r="LI64" s="102"/>
      <c r="LJ64" s="102"/>
      <c r="LK64" s="102"/>
      <c r="LL64" s="102"/>
      <c r="LM64" s="102"/>
      <c r="LN64" s="102"/>
      <c r="LO64" s="102"/>
      <c r="LP64" s="102"/>
      <c r="LQ64" s="102"/>
      <c r="LR64" s="102"/>
      <c r="LS64" s="102"/>
      <c r="LT64" s="102"/>
      <c r="LU64" s="102"/>
      <c r="LV64" s="102"/>
      <c r="LW64" s="102"/>
      <c r="LX64" s="102"/>
      <c r="LY64" s="102"/>
    </row>
    <row r="65" ht="15" customHeight="1">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c r="DT65" s="102"/>
      <c r="DU65" s="102"/>
      <c r="DV65" s="102"/>
      <c r="DW65" s="102"/>
      <c r="DX65" s="102"/>
      <c r="DY65" s="102"/>
      <c r="DZ65" s="102"/>
      <c r="EA65" s="102"/>
      <c r="EB65" s="102"/>
      <c r="EC65" s="102"/>
      <c r="ED65" s="102"/>
      <c r="EE65" s="102"/>
      <c r="EF65" s="102"/>
      <c r="EG65" s="102"/>
      <c r="EH65" s="102"/>
      <c r="EI65" s="102"/>
      <c r="EJ65" s="102"/>
      <c r="EK65" s="102"/>
      <c r="EL65" s="102"/>
      <c r="EM65" s="102"/>
      <c r="EN65" s="102"/>
      <c r="EO65" s="102"/>
      <c r="EP65" s="102"/>
      <c r="EQ65" s="102"/>
      <c r="ER65" s="102"/>
      <c r="ES65" s="102"/>
      <c r="ET65" s="102"/>
      <c r="EU65" s="102"/>
      <c r="EV65" s="102"/>
      <c r="EW65" s="102"/>
      <c r="EX65" s="102"/>
      <c r="EY65" s="102"/>
      <c r="EZ65" s="102"/>
      <c r="FA65" s="102"/>
      <c r="FB65" s="102"/>
      <c r="FC65" s="102"/>
      <c r="FD65" s="102"/>
      <c r="FE65" s="102"/>
      <c r="FF65" s="102"/>
      <c r="FG65" s="102"/>
      <c r="FH65" s="102"/>
      <c r="FI65" s="102"/>
      <c r="FJ65" s="102"/>
      <c r="FK65" s="102"/>
      <c r="FL65" s="102"/>
      <c r="FM65" s="102"/>
      <c r="FN65" s="102"/>
      <c r="FO65" s="102"/>
      <c r="FP65" s="102"/>
      <c r="FQ65" s="102"/>
      <c r="FR65" s="102"/>
      <c r="FS65" s="102"/>
      <c r="FT65" s="102"/>
      <c r="FU65" s="102"/>
      <c r="FV65" s="102"/>
      <c r="FW65" s="102"/>
      <c r="FX65" s="102"/>
      <c r="FY65" s="102"/>
      <c r="FZ65" s="102"/>
      <c r="GA65" s="102"/>
      <c r="GB65" s="102"/>
      <c r="GC65" s="102"/>
      <c r="GD65" s="102"/>
      <c r="GE65" s="102"/>
      <c r="GF65" s="102"/>
      <c r="GG65" s="102"/>
      <c r="GH65" s="102"/>
      <c r="GI65" s="102"/>
      <c r="GJ65" s="102"/>
      <c r="GK65" s="102"/>
      <c r="GL65" s="102"/>
      <c r="GM65" s="102"/>
      <c r="GN65" s="102"/>
      <c r="GO65" s="102"/>
      <c r="GP65" s="102"/>
      <c r="GQ65" s="102"/>
      <c r="GR65" s="102"/>
      <c r="GS65" s="102"/>
      <c r="GT65" s="102"/>
      <c r="GU65" s="102"/>
      <c r="GV65" s="102"/>
      <c r="GW65" s="102"/>
      <c r="GX65" s="102"/>
      <c r="GY65" s="102"/>
      <c r="GZ65" s="102"/>
      <c r="HA65" s="102"/>
      <c r="HB65" s="102"/>
      <c r="HC65" s="102"/>
      <c r="HD65" s="102"/>
      <c r="HE65" s="102"/>
      <c r="HF65" s="102"/>
      <c r="HG65" s="102"/>
      <c r="HH65" s="102"/>
      <c r="HI65" s="102"/>
      <c r="HJ65" s="102"/>
      <c r="HK65" s="102"/>
      <c r="HL65" s="102"/>
      <c r="HM65" s="102"/>
      <c r="HN65" s="102"/>
      <c r="HO65" s="102"/>
      <c r="HP65" s="102"/>
      <c r="HQ65" s="102"/>
      <c r="HR65" s="102"/>
      <c r="HS65" s="102"/>
      <c r="HT65" s="102"/>
      <c r="HU65" s="102"/>
      <c r="HV65" s="102"/>
      <c r="HW65" s="102"/>
      <c r="HX65" s="102"/>
      <c r="HY65" s="102"/>
      <c r="HZ65" s="102"/>
      <c r="IA65" s="102"/>
      <c r="IB65" s="102"/>
      <c r="IC65" s="102"/>
      <c r="ID65" s="102"/>
      <c r="IE65" s="102"/>
      <c r="IF65" s="102"/>
      <c r="IG65" s="102"/>
      <c r="IH65" s="102"/>
      <c r="II65" s="102"/>
      <c r="IJ65" s="102"/>
      <c r="IK65" s="102"/>
      <c r="IL65" s="102"/>
      <c r="IM65" s="102"/>
      <c r="IN65" s="102"/>
      <c r="IO65" s="102"/>
      <c r="IP65" s="102"/>
      <c r="IQ65" s="102"/>
      <c r="IR65" s="102"/>
      <c r="IS65" s="102"/>
      <c r="IT65" s="102"/>
      <c r="IU65" s="102"/>
      <c r="IV65" s="102"/>
      <c r="IW65" s="102"/>
      <c r="IX65" s="102"/>
      <c r="IY65" s="102"/>
      <c r="IZ65" s="102"/>
      <c r="JA65" s="102"/>
      <c r="JB65" s="102"/>
      <c r="JC65" s="102"/>
      <c r="JD65" s="102"/>
      <c r="JE65" s="102"/>
      <c r="JF65" s="102"/>
      <c r="JG65" s="102"/>
      <c r="JH65" s="102"/>
      <c r="JI65" s="102"/>
      <c r="JJ65" s="102"/>
      <c r="JK65" s="102"/>
      <c r="JL65" s="102"/>
      <c r="JM65" s="102"/>
      <c r="JN65" s="102"/>
      <c r="JO65" s="102"/>
      <c r="JP65" s="102"/>
      <c r="JQ65" s="102"/>
      <c r="JR65" s="102"/>
      <c r="JS65" s="102"/>
      <c r="JT65" s="102"/>
      <c r="JU65" s="102"/>
      <c r="JV65" s="102"/>
      <c r="JW65" s="102"/>
      <c r="JX65" s="102"/>
      <c r="JY65" s="102"/>
      <c r="JZ65" s="102"/>
      <c r="KA65" s="102"/>
      <c r="KB65" s="102"/>
      <c r="KC65" s="102"/>
      <c r="KD65" s="102"/>
      <c r="KE65" s="102"/>
      <c r="KF65" s="102"/>
      <c r="KG65" s="102"/>
      <c r="KH65" s="102"/>
      <c r="KI65" s="102"/>
      <c r="KJ65" s="102"/>
      <c r="KK65" s="102"/>
      <c r="KL65" s="102"/>
      <c r="KM65" s="102"/>
      <c r="KN65" s="102"/>
      <c r="KO65" s="102"/>
      <c r="KP65" s="102"/>
      <c r="KQ65" s="102"/>
      <c r="KR65" s="102"/>
      <c r="KS65" s="102"/>
      <c r="KT65" s="102"/>
      <c r="KU65" s="102"/>
      <c r="KV65" s="102"/>
      <c r="KW65" s="102"/>
      <c r="KX65" s="102"/>
      <c r="KY65" s="102"/>
      <c r="KZ65" s="102"/>
      <c r="LA65" s="102"/>
      <c r="LB65" s="102"/>
      <c r="LC65" s="102"/>
      <c r="LD65" s="102"/>
      <c r="LE65" s="102"/>
      <c r="LF65" s="102"/>
      <c r="LG65" s="102"/>
      <c r="LH65" s="102"/>
      <c r="LI65" s="102"/>
      <c r="LJ65" s="102"/>
      <c r="LK65" s="102"/>
      <c r="LL65" s="102"/>
      <c r="LM65" s="102"/>
      <c r="LN65" s="102"/>
      <c r="LO65" s="102"/>
      <c r="LP65" s="102"/>
      <c r="LQ65" s="102"/>
      <c r="LR65" s="102"/>
      <c r="LS65" s="102"/>
      <c r="LT65" s="102"/>
      <c r="LU65" s="102"/>
      <c r="LV65" s="102"/>
      <c r="LW65" s="102"/>
      <c r="LX65" s="102"/>
      <c r="LY65" s="102"/>
    </row>
    <row r="66" ht="15" customHeight="1">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c r="EO66" s="102"/>
      <c r="EP66" s="102"/>
      <c r="EQ66" s="102"/>
      <c r="ER66" s="102"/>
      <c r="ES66" s="102"/>
      <c r="ET66" s="102"/>
      <c r="EU66" s="102"/>
      <c r="EV66" s="102"/>
      <c r="EW66" s="102"/>
      <c r="EX66" s="102"/>
      <c r="EY66" s="102"/>
      <c r="EZ66" s="102"/>
      <c r="FA66" s="102"/>
      <c r="FB66" s="102"/>
      <c r="FC66" s="102"/>
      <c r="FD66" s="102"/>
      <c r="FE66" s="102"/>
      <c r="FF66" s="102"/>
      <c r="FG66" s="102"/>
      <c r="FH66" s="102"/>
      <c r="FI66" s="102"/>
      <c r="FJ66" s="102"/>
      <c r="FK66" s="102"/>
      <c r="FL66" s="102"/>
      <c r="FM66" s="102"/>
      <c r="FN66" s="102"/>
      <c r="FO66" s="102"/>
      <c r="FP66" s="102"/>
      <c r="FQ66" s="102"/>
      <c r="FR66" s="102"/>
      <c r="FS66" s="102"/>
      <c r="FT66" s="102"/>
      <c r="FU66" s="102"/>
      <c r="FV66" s="102"/>
      <c r="FW66" s="102"/>
      <c r="FX66" s="102"/>
      <c r="FY66" s="102"/>
      <c r="FZ66" s="102"/>
      <c r="GA66" s="102"/>
      <c r="GB66" s="102"/>
      <c r="GC66" s="102"/>
      <c r="GD66" s="102"/>
      <c r="GE66" s="102"/>
      <c r="GF66" s="102"/>
      <c r="GG66" s="102"/>
      <c r="GH66" s="102"/>
      <c r="GI66" s="102"/>
      <c r="GJ66" s="102"/>
      <c r="GK66" s="102"/>
      <c r="GL66" s="102"/>
      <c r="GM66" s="102"/>
      <c r="GN66" s="102"/>
      <c r="GO66" s="102"/>
      <c r="GP66" s="102"/>
      <c r="GQ66" s="102"/>
      <c r="GR66" s="102"/>
      <c r="GS66" s="102"/>
      <c r="GT66" s="102"/>
      <c r="GU66" s="102"/>
      <c r="GV66" s="102"/>
      <c r="GW66" s="102"/>
      <c r="GX66" s="102"/>
      <c r="GY66" s="102"/>
      <c r="GZ66" s="102"/>
      <c r="HA66" s="102"/>
      <c r="HB66" s="102"/>
      <c r="HC66" s="102"/>
      <c r="HD66" s="102"/>
      <c r="HE66" s="102"/>
      <c r="HF66" s="102"/>
      <c r="HG66" s="102"/>
      <c r="HH66" s="102"/>
      <c r="HI66" s="102"/>
      <c r="HJ66" s="102"/>
      <c r="HK66" s="102"/>
      <c r="HL66" s="102"/>
      <c r="HM66" s="102"/>
      <c r="HN66" s="102"/>
      <c r="HO66" s="102"/>
      <c r="HP66" s="102"/>
      <c r="HQ66" s="102"/>
      <c r="HR66" s="102"/>
      <c r="HS66" s="102"/>
      <c r="HT66" s="102"/>
      <c r="HU66" s="102"/>
      <c r="HV66" s="102"/>
      <c r="HW66" s="102"/>
      <c r="HX66" s="102"/>
      <c r="HY66" s="102"/>
      <c r="HZ66" s="102"/>
      <c r="IA66" s="102"/>
      <c r="IB66" s="102"/>
      <c r="IC66" s="102"/>
      <c r="ID66" s="102"/>
      <c r="IE66" s="102"/>
      <c r="IF66" s="102"/>
      <c r="IG66" s="102"/>
      <c r="IH66" s="102"/>
      <c r="II66" s="102"/>
      <c r="IJ66" s="102"/>
      <c r="IK66" s="102"/>
      <c r="IL66" s="102"/>
      <c r="IM66" s="102"/>
      <c r="IN66" s="102"/>
      <c r="IO66" s="102"/>
      <c r="IP66" s="102"/>
      <c r="IQ66" s="102"/>
      <c r="IR66" s="102"/>
      <c r="IS66" s="102"/>
      <c r="IT66" s="102"/>
      <c r="IU66" s="102"/>
      <c r="IV66" s="102"/>
      <c r="IW66" s="102"/>
      <c r="IX66" s="102"/>
      <c r="IY66" s="102"/>
      <c r="IZ66" s="102"/>
      <c r="JA66" s="102"/>
      <c r="JB66" s="102"/>
      <c r="JC66" s="102"/>
      <c r="JD66" s="102"/>
      <c r="JE66" s="102"/>
      <c r="JF66" s="102"/>
      <c r="JG66" s="102"/>
      <c r="JH66" s="102"/>
      <c r="JI66" s="102"/>
      <c r="JJ66" s="102"/>
      <c r="JK66" s="102"/>
      <c r="JL66" s="102"/>
      <c r="JM66" s="102"/>
      <c r="JN66" s="102"/>
      <c r="JO66" s="102"/>
      <c r="JP66" s="102"/>
      <c r="JQ66" s="102"/>
      <c r="JR66" s="102"/>
      <c r="JS66" s="102"/>
      <c r="JT66" s="102"/>
      <c r="JU66" s="102"/>
      <c r="JV66" s="102"/>
      <c r="JW66" s="102"/>
      <c r="JX66" s="102"/>
      <c r="JY66" s="102"/>
      <c r="JZ66" s="102"/>
      <c r="KA66" s="102"/>
      <c r="KB66" s="102"/>
      <c r="KC66" s="102"/>
      <c r="KD66" s="102"/>
      <c r="KE66" s="102"/>
      <c r="KF66" s="102"/>
      <c r="KG66" s="102"/>
      <c r="KH66" s="102"/>
      <c r="KI66" s="102"/>
      <c r="KJ66" s="102"/>
      <c r="KK66" s="102"/>
      <c r="KL66" s="102"/>
      <c r="KM66" s="102"/>
      <c r="KN66" s="102"/>
      <c r="KO66" s="102"/>
      <c r="KP66" s="102"/>
      <c r="KQ66" s="102"/>
      <c r="KR66" s="102"/>
      <c r="KS66" s="102"/>
      <c r="KT66" s="102"/>
      <c r="KU66" s="102"/>
      <c r="KV66" s="102"/>
      <c r="KW66" s="102"/>
      <c r="KX66" s="102"/>
      <c r="KY66" s="102"/>
      <c r="KZ66" s="102"/>
      <c r="LA66" s="102"/>
      <c r="LB66" s="102"/>
      <c r="LC66" s="102"/>
      <c r="LD66" s="102"/>
      <c r="LE66" s="102"/>
      <c r="LF66" s="102"/>
      <c r="LG66" s="102"/>
      <c r="LH66" s="102"/>
      <c r="LI66" s="102"/>
      <c r="LJ66" s="102"/>
      <c r="LK66" s="102"/>
      <c r="LL66" s="102"/>
      <c r="LM66" s="102"/>
      <c r="LN66" s="102"/>
      <c r="LO66" s="102"/>
      <c r="LP66" s="102"/>
      <c r="LQ66" s="102"/>
      <c r="LR66" s="102"/>
      <c r="LS66" s="102"/>
      <c r="LT66" s="102"/>
      <c r="LU66" s="102"/>
      <c r="LV66" s="102"/>
      <c r="LW66" s="102"/>
      <c r="LX66" s="102"/>
      <c r="LY66" s="102"/>
    </row>
    <row r="67" ht="15" customHeight="1">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c r="EO67" s="102"/>
      <c r="EP67" s="102"/>
      <c r="EQ67" s="102"/>
      <c r="ER67" s="102"/>
      <c r="ES67" s="102"/>
      <c r="ET67" s="102"/>
      <c r="EU67" s="102"/>
      <c r="EV67" s="102"/>
      <c r="EW67" s="102"/>
      <c r="EX67" s="102"/>
      <c r="EY67" s="102"/>
      <c r="EZ67" s="102"/>
      <c r="FA67" s="102"/>
      <c r="FB67" s="102"/>
      <c r="FC67" s="102"/>
      <c r="FD67" s="102"/>
      <c r="FE67" s="102"/>
      <c r="FF67" s="102"/>
      <c r="FG67" s="102"/>
      <c r="FH67" s="102"/>
      <c r="FI67" s="102"/>
      <c r="FJ67" s="102"/>
      <c r="FK67" s="102"/>
      <c r="FL67" s="102"/>
      <c r="FM67" s="102"/>
      <c r="FN67" s="102"/>
      <c r="FO67" s="102"/>
      <c r="FP67" s="102"/>
      <c r="FQ67" s="102"/>
      <c r="FR67" s="102"/>
      <c r="FS67" s="102"/>
      <c r="FT67" s="102"/>
      <c r="FU67" s="102"/>
      <c r="FV67" s="102"/>
      <c r="FW67" s="102"/>
      <c r="FX67" s="102"/>
      <c r="FY67" s="102"/>
      <c r="FZ67" s="102"/>
      <c r="GA67" s="102"/>
      <c r="GB67" s="102"/>
      <c r="GC67" s="102"/>
      <c r="GD67" s="102"/>
      <c r="GE67" s="102"/>
      <c r="GF67" s="102"/>
      <c r="GG67" s="102"/>
      <c r="GH67" s="102"/>
      <c r="GI67" s="102"/>
      <c r="GJ67" s="102"/>
      <c r="GK67" s="102"/>
      <c r="GL67" s="102"/>
      <c r="GM67" s="102"/>
      <c r="GN67" s="102"/>
      <c r="GO67" s="102"/>
      <c r="GP67" s="102"/>
      <c r="GQ67" s="102"/>
      <c r="GR67" s="102"/>
      <c r="GS67" s="102"/>
      <c r="GT67" s="102"/>
      <c r="GU67" s="102"/>
      <c r="GV67" s="102"/>
      <c r="GW67" s="102"/>
      <c r="GX67" s="102"/>
      <c r="GY67" s="102"/>
      <c r="GZ67" s="102"/>
      <c r="HA67" s="102"/>
      <c r="HB67" s="102"/>
      <c r="HC67" s="102"/>
      <c r="HD67" s="102"/>
      <c r="HE67" s="102"/>
      <c r="HF67" s="102"/>
      <c r="HG67" s="102"/>
      <c r="HH67" s="102"/>
      <c r="HI67" s="102"/>
      <c r="HJ67" s="102"/>
      <c r="HK67" s="102"/>
      <c r="HL67" s="102"/>
      <c r="HM67" s="102"/>
      <c r="HN67" s="102"/>
      <c r="HO67" s="102"/>
      <c r="HP67" s="102"/>
      <c r="HQ67" s="102"/>
      <c r="HR67" s="102"/>
      <c r="HS67" s="102"/>
      <c r="HT67" s="102"/>
      <c r="HU67" s="102"/>
      <c r="HV67" s="102"/>
      <c r="HW67" s="102"/>
      <c r="HX67" s="102"/>
      <c r="HY67" s="102"/>
      <c r="HZ67" s="102"/>
      <c r="IA67" s="102"/>
      <c r="IB67" s="102"/>
      <c r="IC67" s="102"/>
      <c r="ID67" s="102"/>
      <c r="IE67" s="102"/>
      <c r="IF67" s="102"/>
      <c r="IG67" s="102"/>
      <c r="IH67" s="102"/>
      <c r="II67" s="102"/>
      <c r="IJ67" s="102"/>
      <c r="IK67" s="102"/>
      <c r="IL67" s="102"/>
      <c r="IM67" s="102"/>
      <c r="IN67" s="102"/>
      <c r="IO67" s="102"/>
      <c r="IP67" s="102"/>
      <c r="IQ67" s="102"/>
      <c r="IR67" s="102"/>
      <c r="IS67" s="102"/>
      <c r="IT67" s="102"/>
      <c r="IU67" s="102"/>
      <c r="IV67" s="102"/>
      <c r="IW67" s="102"/>
      <c r="IX67" s="102"/>
      <c r="IY67" s="102"/>
      <c r="IZ67" s="102"/>
      <c r="JA67" s="102"/>
      <c r="JB67" s="102"/>
      <c r="JC67" s="102"/>
      <c r="JD67" s="102"/>
      <c r="JE67" s="102"/>
      <c r="JF67" s="102"/>
      <c r="JG67" s="102"/>
      <c r="JH67" s="102"/>
      <c r="JI67" s="102"/>
      <c r="JJ67" s="102"/>
      <c r="JK67" s="102"/>
      <c r="JL67" s="102"/>
      <c r="JM67" s="102"/>
      <c r="JN67" s="102"/>
      <c r="JO67" s="102"/>
      <c r="JP67" s="102"/>
      <c r="JQ67" s="102"/>
      <c r="JR67" s="102"/>
      <c r="JS67" s="102"/>
      <c r="JT67" s="102"/>
      <c r="JU67" s="102"/>
      <c r="JV67" s="102"/>
      <c r="JW67" s="102"/>
      <c r="JX67" s="102"/>
      <c r="JY67" s="102"/>
      <c r="JZ67" s="102"/>
      <c r="KA67" s="102"/>
      <c r="KB67" s="102"/>
      <c r="KC67" s="102"/>
      <c r="KD67" s="102"/>
      <c r="KE67" s="102"/>
      <c r="KF67" s="102"/>
      <c r="KG67" s="102"/>
      <c r="KH67" s="102"/>
      <c r="KI67" s="102"/>
      <c r="KJ67" s="102"/>
      <c r="KK67" s="102"/>
      <c r="KL67" s="102"/>
      <c r="KM67" s="102"/>
      <c r="KN67" s="102"/>
      <c r="KO67" s="102"/>
      <c r="KP67" s="102"/>
      <c r="KQ67" s="102"/>
      <c r="KR67" s="102"/>
      <c r="KS67" s="102"/>
      <c r="KT67" s="102"/>
      <c r="KU67" s="102"/>
      <c r="KV67" s="102"/>
      <c r="KW67" s="102"/>
      <c r="KX67" s="102"/>
      <c r="KY67" s="102"/>
      <c r="KZ67" s="102"/>
      <c r="LA67" s="102"/>
      <c r="LB67" s="102"/>
      <c r="LC67" s="102"/>
      <c r="LD67" s="102"/>
      <c r="LE67" s="102"/>
      <c r="LF67" s="102"/>
      <c r="LG67" s="102"/>
      <c r="LH67" s="102"/>
      <c r="LI67" s="102"/>
      <c r="LJ67" s="102"/>
      <c r="LK67" s="102"/>
      <c r="LL67" s="102"/>
      <c r="LM67" s="102"/>
      <c r="LN67" s="102"/>
      <c r="LO67" s="102"/>
      <c r="LP67" s="102"/>
      <c r="LQ67" s="102"/>
      <c r="LR67" s="102"/>
      <c r="LS67" s="102"/>
      <c r="LT67" s="102"/>
      <c r="LU67" s="102"/>
      <c r="LV67" s="102"/>
      <c r="LW67" s="102"/>
      <c r="LX67" s="102"/>
      <c r="LY67" s="102"/>
    </row>
    <row r="68" ht="15" customHeight="1">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c r="CI68" s="102"/>
      <c r="CJ68" s="102"/>
      <c r="CK68" s="102"/>
      <c r="CL68" s="102"/>
      <c r="CM68" s="102"/>
      <c r="CN68" s="102"/>
      <c r="CO68" s="102"/>
      <c r="CP68" s="102"/>
      <c r="CQ68" s="102"/>
      <c r="CR68" s="102"/>
      <c r="CS68" s="102"/>
      <c r="CT68" s="102"/>
      <c r="CU68" s="102"/>
      <c r="CV68" s="102"/>
      <c r="CW68" s="102"/>
      <c r="CX68" s="102"/>
      <c r="CY68" s="102"/>
      <c r="CZ68" s="102"/>
      <c r="DA68" s="102"/>
      <c r="DB68" s="102"/>
      <c r="DC68" s="102"/>
      <c r="DD68" s="102"/>
      <c r="DE68" s="102"/>
      <c r="DF68" s="102"/>
      <c r="DG68" s="102"/>
      <c r="DH68" s="102"/>
      <c r="DI68" s="102"/>
      <c r="DJ68" s="102"/>
      <c r="DK68" s="102"/>
      <c r="DL68" s="102"/>
      <c r="DM68" s="102"/>
      <c r="DN68" s="102"/>
      <c r="DO68" s="102"/>
      <c r="DP68" s="102"/>
      <c r="DQ68" s="102"/>
      <c r="DR68" s="102"/>
      <c r="DS68" s="102"/>
      <c r="DT68" s="102"/>
      <c r="DU68" s="102"/>
      <c r="DV68" s="102"/>
      <c r="DW68" s="102"/>
      <c r="DX68" s="102"/>
      <c r="DY68" s="102"/>
      <c r="DZ68" s="102"/>
      <c r="EA68" s="102"/>
      <c r="EB68" s="102"/>
      <c r="EC68" s="102"/>
      <c r="ED68" s="102"/>
      <c r="EE68" s="102"/>
      <c r="EF68" s="102"/>
      <c r="EG68" s="102"/>
      <c r="EH68" s="102"/>
      <c r="EI68" s="102"/>
      <c r="EJ68" s="102"/>
      <c r="EK68" s="102"/>
      <c r="EL68" s="102"/>
      <c r="EM68" s="102"/>
      <c r="EN68" s="102"/>
      <c r="EO68" s="102"/>
      <c r="EP68" s="102"/>
      <c r="EQ68" s="102"/>
      <c r="ER68" s="102"/>
      <c r="ES68" s="102"/>
      <c r="ET68" s="102"/>
      <c r="EU68" s="102"/>
      <c r="EV68" s="102"/>
      <c r="EW68" s="102"/>
      <c r="EX68" s="102"/>
      <c r="EY68" s="102"/>
      <c r="EZ68" s="102"/>
      <c r="FA68" s="102"/>
      <c r="FB68" s="102"/>
      <c r="FC68" s="102"/>
      <c r="FD68" s="102"/>
      <c r="FE68" s="102"/>
      <c r="FF68" s="102"/>
      <c r="FG68" s="102"/>
      <c r="FH68" s="102"/>
      <c r="FI68" s="102"/>
      <c r="FJ68" s="102"/>
      <c r="FK68" s="102"/>
      <c r="FL68" s="102"/>
      <c r="FM68" s="102"/>
      <c r="FN68" s="102"/>
      <c r="FO68" s="102"/>
      <c r="FP68" s="102"/>
      <c r="FQ68" s="102"/>
      <c r="FR68" s="102"/>
      <c r="FS68" s="102"/>
      <c r="FT68" s="102"/>
      <c r="FU68" s="102"/>
      <c r="FV68" s="102"/>
      <c r="FW68" s="102"/>
      <c r="FX68" s="102"/>
      <c r="FY68" s="102"/>
      <c r="FZ68" s="102"/>
      <c r="GA68" s="102"/>
      <c r="GB68" s="102"/>
      <c r="GC68" s="102"/>
      <c r="GD68" s="102"/>
      <c r="GE68" s="102"/>
      <c r="GF68" s="102"/>
      <c r="GG68" s="102"/>
      <c r="GH68" s="102"/>
      <c r="GI68" s="102"/>
      <c r="GJ68" s="102"/>
      <c r="GK68" s="102"/>
      <c r="GL68" s="102"/>
      <c r="GM68" s="102"/>
      <c r="GN68" s="102"/>
      <c r="GO68" s="102"/>
      <c r="GP68" s="102"/>
      <c r="GQ68" s="102"/>
      <c r="GR68" s="102"/>
      <c r="GS68" s="102"/>
      <c r="GT68" s="102"/>
      <c r="GU68" s="102"/>
      <c r="GV68" s="102"/>
      <c r="GW68" s="102"/>
      <c r="GX68" s="102"/>
      <c r="GY68" s="102"/>
      <c r="GZ68" s="102"/>
      <c r="HA68" s="102"/>
      <c r="HB68" s="102"/>
      <c r="HC68" s="102"/>
      <c r="HD68" s="102"/>
      <c r="HE68" s="102"/>
      <c r="HF68" s="102"/>
      <c r="HG68" s="102"/>
      <c r="HH68" s="102"/>
      <c r="HI68" s="102"/>
      <c r="HJ68" s="102"/>
      <c r="HK68" s="102"/>
      <c r="HL68" s="102"/>
      <c r="HM68" s="102"/>
      <c r="HN68" s="102"/>
      <c r="HO68" s="102"/>
      <c r="HP68" s="102"/>
      <c r="HQ68" s="102"/>
      <c r="HR68" s="102"/>
      <c r="HS68" s="102"/>
      <c r="HT68" s="102"/>
      <c r="HU68" s="102"/>
      <c r="HV68" s="102"/>
      <c r="HW68" s="102"/>
      <c r="HX68" s="102"/>
      <c r="HY68" s="102"/>
      <c r="HZ68" s="102"/>
      <c r="IA68" s="102"/>
      <c r="IB68" s="102"/>
      <c r="IC68" s="102"/>
      <c r="ID68" s="102"/>
      <c r="IE68" s="102"/>
      <c r="IF68" s="102"/>
      <c r="IG68" s="102"/>
      <c r="IH68" s="102"/>
      <c r="II68" s="102"/>
      <c r="IJ68" s="102"/>
      <c r="IK68" s="102"/>
      <c r="IL68" s="102"/>
      <c r="IM68" s="102"/>
      <c r="IN68" s="102"/>
      <c r="IO68" s="102"/>
      <c r="IP68" s="102"/>
      <c r="IQ68" s="102"/>
      <c r="IR68" s="102"/>
      <c r="IS68" s="102"/>
      <c r="IT68" s="102"/>
      <c r="IU68" s="102"/>
      <c r="IV68" s="102"/>
      <c r="IW68" s="102"/>
      <c r="IX68" s="102"/>
      <c r="IY68" s="102"/>
      <c r="IZ68" s="102"/>
      <c r="JA68" s="102"/>
      <c r="JB68" s="102"/>
      <c r="JC68" s="102"/>
      <c r="JD68" s="102"/>
      <c r="JE68" s="102"/>
      <c r="JF68" s="102"/>
      <c r="JG68" s="102"/>
      <c r="JH68" s="102"/>
      <c r="JI68" s="102"/>
      <c r="JJ68" s="102"/>
      <c r="JK68" s="102"/>
      <c r="JL68" s="102"/>
      <c r="JM68" s="102"/>
      <c r="JN68" s="102"/>
      <c r="JO68" s="102"/>
      <c r="JP68" s="102"/>
      <c r="JQ68" s="102"/>
      <c r="JR68" s="102"/>
      <c r="JS68" s="102"/>
      <c r="JT68" s="102"/>
      <c r="JU68" s="102"/>
      <c r="JV68" s="102"/>
      <c r="JW68" s="102"/>
      <c r="JX68" s="102"/>
      <c r="JY68" s="102"/>
      <c r="JZ68" s="102"/>
      <c r="KA68" s="102"/>
      <c r="KB68" s="102"/>
      <c r="KC68" s="102"/>
      <c r="KD68" s="102"/>
      <c r="KE68" s="102"/>
      <c r="KF68" s="102"/>
      <c r="KG68" s="102"/>
      <c r="KH68" s="102"/>
      <c r="KI68" s="102"/>
      <c r="KJ68" s="102"/>
      <c r="KK68" s="102"/>
      <c r="KL68" s="102"/>
      <c r="KM68" s="102"/>
      <c r="KN68" s="102"/>
      <c r="KO68" s="102"/>
      <c r="KP68" s="102"/>
      <c r="KQ68" s="102"/>
      <c r="KR68" s="102"/>
      <c r="KS68" s="102"/>
      <c r="KT68" s="102"/>
      <c r="KU68" s="102"/>
      <c r="KV68" s="102"/>
      <c r="KW68" s="102"/>
      <c r="KX68" s="102"/>
      <c r="KY68" s="102"/>
      <c r="KZ68" s="102"/>
      <c r="LA68" s="102"/>
      <c r="LB68" s="102"/>
      <c r="LC68" s="102"/>
      <c r="LD68" s="102"/>
      <c r="LE68" s="102"/>
      <c r="LF68" s="102"/>
      <c r="LG68" s="102"/>
      <c r="LH68" s="102"/>
      <c r="LI68" s="102"/>
      <c r="LJ68" s="102"/>
      <c r="LK68" s="102"/>
      <c r="LL68" s="102"/>
      <c r="LM68" s="102"/>
      <c r="LN68" s="102"/>
      <c r="LO68" s="102"/>
      <c r="LP68" s="102"/>
      <c r="LQ68" s="102"/>
      <c r="LR68" s="102"/>
      <c r="LS68" s="102"/>
      <c r="LT68" s="102"/>
      <c r="LU68" s="102"/>
      <c r="LV68" s="102"/>
      <c r="LW68" s="102"/>
      <c r="LX68" s="102"/>
      <c r="LY68" s="102"/>
    </row>
    <row r="69" ht="15" customHeight="1">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c r="CI69" s="102"/>
      <c r="CJ69" s="102"/>
      <c r="CK69" s="102"/>
      <c r="CL69" s="102"/>
      <c r="CM69" s="102"/>
      <c r="CN69" s="102"/>
      <c r="CO69" s="102"/>
      <c r="CP69" s="102"/>
      <c r="CQ69" s="102"/>
      <c r="CR69" s="102"/>
      <c r="CS69" s="102"/>
      <c r="CT69" s="102"/>
      <c r="CU69" s="102"/>
      <c r="CV69" s="102"/>
      <c r="CW69" s="102"/>
      <c r="CX69" s="102"/>
      <c r="CY69" s="102"/>
      <c r="CZ69" s="102"/>
      <c r="DA69" s="102"/>
      <c r="DB69" s="102"/>
      <c r="DC69" s="102"/>
      <c r="DD69" s="102"/>
      <c r="DE69" s="102"/>
      <c r="DF69" s="102"/>
      <c r="DG69" s="102"/>
      <c r="DH69" s="102"/>
      <c r="DI69" s="102"/>
      <c r="DJ69" s="102"/>
      <c r="DK69" s="102"/>
      <c r="DL69" s="102"/>
      <c r="DM69" s="102"/>
      <c r="DN69" s="102"/>
      <c r="DO69" s="102"/>
      <c r="DP69" s="102"/>
      <c r="DQ69" s="102"/>
      <c r="DR69" s="102"/>
      <c r="DS69" s="102"/>
      <c r="DT69" s="102"/>
      <c r="DU69" s="102"/>
      <c r="DV69" s="102"/>
      <c r="DW69" s="102"/>
      <c r="DX69" s="102"/>
      <c r="DY69" s="102"/>
      <c r="DZ69" s="102"/>
      <c r="EA69" s="102"/>
      <c r="EB69" s="102"/>
      <c r="EC69" s="102"/>
      <c r="ED69" s="102"/>
      <c r="EE69" s="102"/>
      <c r="EF69" s="102"/>
      <c r="EG69" s="102"/>
      <c r="EH69" s="102"/>
      <c r="EI69" s="102"/>
      <c r="EJ69" s="102"/>
      <c r="EK69" s="102"/>
      <c r="EL69" s="102"/>
      <c r="EM69" s="102"/>
      <c r="EN69" s="102"/>
      <c r="EO69" s="102"/>
      <c r="EP69" s="102"/>
      <c r="EQ69" s="102"/>
      <c r="ER69" s="102"/>
      <c r="ES69" s="102"/>
      <c r="ET69" s="102"/>
      <c r="EU69" s="102"/>
      <c r="EV69" s="102"/>
      <c r="EW69" s="102"/>
      <c r="EX69" s="102"/>
      <c r="EY69" s="102"/>
      <c r="EZ69" s="102"/>
      <c r="FA69" s="102"/>
      <c r="FB69" s="102"/>
      <c r="FC69" s="102"/>
      <c r="FD69" s="102"/>
      <c r="FE69" s="102"/>
      <c r="FF69" s="102"/>
      <c r="FG69" s="102"/>
      <c r="FH69" s="102"/>
      <c r="FI69" s="102"/>
      <c r="FJ69" s="102"/>
      <c r="FK69" s="102"/>
      <c r="FL69" s="102"/>
      <c r="FM69" s="102"/>
      <c r="FN69" s="102"/>
      <c r="FO69" s="102"/>
      <c r="FP69" s="102"/>
      <c r="FQ69" s="102"/>
      <c r="FR69" s="102"/>
      <c r="FS69" s="102"/>
      <c r="FT69" s="102"/>
      <c r="FU69" s="102"/>
      <c r="FV69" s="102"/>
      <c r="FW69" s="102"/>
      <c r="FX69" s="102"/>
      <c r="FY69" s="102"/>
      <c r="FZ69" s="102"/>
      <c r="GA69" s="102"/>
      <c r="GB69" s="102"/>
      <c r="GC69" s="102"/>
      <c r="GD69" s="102"/>
      <c r="GE69" s="102"/>
      <c r="GF69" s="102"/>
      <c r="GG69" s="102"/>
      <c r="GH69" s="102"/>
      <c r="GI69" s="102"/>
      <c r="GJ69" s="102"/>
      <c r="GK69" s="102"/>
      <c r="GL69" s="102"/>
      <c r="GM69" s="102"/>
      <c r="GN69" s="102"/>
      <c r="GO69" s="102"/>
      <c r="GP69" s="102"/>
      <c r="GQ69" s="102"/>
      <c r="GR69" s="102"/>
      <c r="GS69" s="102"/>
      <c r="GT69" s="102"/>
      <c r="GU69" s="102"/>
      <c r="GV69" s="102"/>
      <c r="GW69" s="102"/>
      <c r="GX69" s="102"/>
      <c r="GY69" s="102"/>
      <c r="GZ69" s="102"/>
      <c r="HA69" s="102"/>
      <c r="HB69" s="102"/>
      <c r="HC69" s="102"/>
      <c r="HD69" s="102"/>
      <c r="HE69" s="102"/>
      <c r="HF69" s="102"/>
      <c r="HG69" s="102"/>
      <c r="HH69" s="102"/>
      <c r="HI69" s="102"/>
      <c r="HJ69" s="102"/>
      <c r="HK69" s="102"/>
      <c r="HL69" s="102"/>
      <c r="HM69" s="102"/>
      <c r="HN69" s="102"/>
      <c r="HO69" s="102"/>
      <c r="HP69" s="102"/>
      <c r="HQ69" s="102"/>
      <c r="HR69" s="102"/>
      <c r="HS69" s="102"/>
      <c r="HT69" s="102"/>
      <c r="HU69" s="102"/>
      <c r="HV69" s="102"/>
      <c r="HW69" s="102"/>
      <c r="HX69" s="102"/>
      <c r="HY69" s="102"/>
      <c r="HZ69" s="102"/>
      <c r="IA69" s="102"/>
      <c r="IB69" s="102"/>
      <c r="IC69" s="102"/>
      <c r="ID69" s="102"/>
      <c r="IE69" s="102"/>
      <c r="IF69" s="102"/>
      <c r="IG69" s="102"/>
      <c r="IH69" s="102"/>
      <c r="II69" s="102"/>
      <c r="IJ69" s="102"/>
      <c r="IK69" s="102"/>
      <c r="IL69" s="102"/>
      <c r="IM69" s="102"/>
      <c r="IN69" s="102"/>
      <c r="IO69" s="102"/>
      <c r="IP69" s="102"/>
      <c r="IQ69" s="102"/>
      <c r="IR69" s="102"/>
      <c r="IS69" s="102"/>
      <c r="IT69" s="102"/>
      <c r="IU69" s="102"/>
      <c r="IV69" s="102"/>
      <c r="IW69" s="102"/>
      <c r="IX69" s="102"/>
      <c r="IY69" s="102"/>
      <c r="IZ69" s="102"/>
      <c r="JA69" s="102"/>
      <c r="JB69" s="102"/>
      <c r="JC69" s="102"/>
      <c r="JD69" s="102"/>
      <c r="JE69" s="102"/>
      <c r="JF69" s="102"/>
      <c r="JG69" s="102"/>
      <c r="JH69" s="102"/>
      <c r="JI69" s="102"/>
      <c r="JJ69" s="102"/>
      <c r="JK69" s="102"/>
      <c r="JL69" s="102"/>
      <c r="JM69" s="102"/>
      <c r="JN69" s="102"/>
      <c r="JO69" s="102"/>
      <c r="JP69" s="102"/>
      <c r="JQ69" s="102"/>
      <c r="JR69" s="102"/>
      <c r="JS69" s="102"/>
      <c r="JT69" s="102"/>
      <c r="JU69" s="102"/>
      <c r="JV69" s="102"/>
      <c r="JW69" s="102"/>
      <c r="JX69" s="102"/>
      <c r="JY69" s="102"/>
      <c r="JZ69" s="102"/>
      <c r="KA69" s="102"/>
      <c r="KB69" s="102"/>
      <c r="KC69" s="102"/>
      <c r="KD69" s="102"/>
      <c r="KE69" s="102"/>
      <c r="KF69" s="102"/>
      <c r="KG69" s="102"/>
      <c r="KH69" s="102"/>
      <c r="KI69" s="102"/>
      <c r="KJ69" s="102"/>
      <c r="KK69" s="102"/>
      <c r="KL69" s="102"/>
      <c r="KM69" s="102"/>
      <c r="KN69" s="102"/>
      <c r="KO69" s="102"/>
      <c r="KP69" s="102"/>
      <c r="KQ69" s="102"/>
      <c r="KR69" s="102"/>
      <c r="KS69" s="102"/>
      <c r="KT69" s="102"/>
      <c r="KU69" s="102"/>
      <c r="KV69" s="102"/>
      <c r="KW69" s="102"/>
      <c r="KX69" s="102"/>
      <c r="KY69" s="102"/>
      <c r="KZ69" s="102"/>
      <c r="LA69" s="102"/>
      <c r="LB69" s="102"/>
      <c r="LC69" s="102"/>
      <c r="LD69" s="102"/>
      <c r="LE69" s="102"/>
      <c r="LF69" s="102"/>
      <c r="LG69" s="102"/>
      <c r="LH69" s="102"/>
      <c r="LI69" s="102"/>
      <c r="LJ69" s="102"/>
      <c r="LK69" s="102"/>
      <c r="LL69" s="102"/>
      <c r="LM69" s="102"/>
      <c r="LN69" s="102"/>
      <c r="LO69" s="102"/>
      <c r="LP69" s="102"/>
      <c r="LQ69" s="102"/>
      <c r="LR69" s="102"/>
      <c r="LS69" s="102"/>
      <c r="LT69" s="102"/>
      <c r="LU69" s="102"/>
      <c r="LV69" s="102"/>
      <c r="LW69" s="102"/>
      <c r="LX69" s="102"/>
      <c r="LY69" s="102"/>
    </row>
    <row r="70" ht="15" customHeight="1">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c r="EO70" s="102"/>
      <c r="EP70" s="102"/>
      <c r="EQ70" s="102"/>
      <c r="ER70" s="102"/>
      <c r="ES70" s="102"/>
      <c r="ET70" s="102"/>
      <c r="EU70" s="102"/>
      <c r="EV70" s="102"/>
      <c r="EW70" s="102"/>
      <c r="EX70" s="102"/>
      <c r="EY70" s="102"/>
      <c r="EZ70" s="102"/>
      <c r="FA70" s="102"/>
      <c r="FB70" s="102"/>
      <c r="FC70" s="102"/>
      <c r="FD70" s="102"/>
      <c r="FE70" s="102"/>
      <c r="FF70" s="102"/>
      <c r="FG70" s="102"/>
      <c r="FH70" s="102"/>
      <c r="FI70" s="102"/>
      <c r="FJ70" s="102"/>
      <c r="FK70" s="102"/>
      <c r="FL70" s="102"/>
      <c r="FM70" s="102"/>
      <c r="FN70" s="102"/>
      <c r="FO70" s="102"/>
      <c r="FP70" s="102"/>
      <c r="FQ70" s="102"/>
      <c r="FR70" s="102"/>
      <c r="FS70" s="102"/>
      <c r="FT70" s="102"/>
      <c r="FU70" s="102"/>
      <c r="FV70" s="102"/>
      <c r="FW70" s="102"/>
      <c r="FX70" s="102"/>
      <c r="FY70" s="102"/>
      <c r="FZ70" s="102"/>
      <c r="GA70" s="102"/>
      <c r="GB70" s="102"/>
      <c r="GC70" s="102"/>
      <c r="GD70" s="102"/>
      <c r="GE70" s="102"/>
      <c r="GF70" s="102"/>
      <c r="GG70" s="102"/>
      <c r="GH70" s="102"/>
      <c r="GI70" s="102"/>
      <c r="GJ70" s="102"/>
      <c r="GK70" s="102"/>
      <c r="GL70" s="102"/>
      <c r="GM70" s="102"/>
      <c r="GN70" s="102"/>
      <c r="GO70" s="102"/>
      <c r="GP70" s="102"/>
      <c r="GQ70" s="102"/>
      <c r="GR70" s="102"/>
      <c r="GS70" s="102"/>
      <c r="GT70" s="102"/>
      <c r="GU70" s="102"/>
      <c r="GV70" s="102"/>
      <c r="GW70" s="102"/>
      <c r="GX70" s="102"/>
      <c r="GY70" s="102"/>
      <c r="GZ70" s="102"/>
      <c r="HA70" s="102"/>
      <c r="HB70" s="102"/>
      <c r="HC70" s="102"/>
      <c r="HD70" s="102"/>
      <c r="HE70" s="102"/>
      <c r="HF70" s="102"/>
      <c r="HG70" s="102"/>
      <c r="HH70" s="102"/>
      <c r="HI70" s="102"/>
      <c r="HJ70" s="102"/>
      <c r="HK70" s="102"/>
      <c r="HL70" s="102"/>
      <c r="HM70" s="102"/>
      <c r="HN70" s="102"/>
      <c r="HO70" s="102"/>
      <c r="HP70" s="102"/>
      <c r="HQ70" s="102"/>
      <c r="HR70" s="102"/>
      <c r="HS70" s="102"/>
      <c r="HT70" s="102"/>
      <c r="HU70" s="102"/>
      <c r="HV70" s="102"/>
      <c r="HW70" s="102"/>
      <c r="HX70" s="102"/>
      <c r="HY70" s="102"/>
      <c r="HZ70" s="102"/>
      <c r="IA70" s="102"/>
      <c r="IB70" s="102"/>
      <c r="IC70" s="102"/>
      <c r="ID70" s="102"/>
      <c r="IE70" s="102"/>
      <c r="IF70" s="102"/>
      <c r="IG70" s="102"/>
      <c r="IH70" s="102"/>
      <c r="II70" s="102"/>
      <c r="IJ70" s="102"/>
      <c r="IK70" s="102"/>
      <c r="IL70" s="102"/>
      <c r="IM70" s="102"/>
      <c r="IN70" s="102"/>
      <c r="IO70" s="102"/>
      <c r="IP70" s="102"/>
      <c r="IQ70" s="102"/>
      <c r="IR70" s="102"/>
      <c r="IS70" s="102"/>
      <c r="IT70" s="102"/>
      <c r="IU70" s="102"/>
      <c r="IV70" s="102"/>
      <c r="IW70" s="102"/>
      <c r="IX70" s="102"/>
      <c r="IY70" s="102"/>
      <c r="IZ70" s="102"/>
      <c r="JA70" s="102"/>
      <c r="JB70" s="102"/>
      <c r="JC70" s="102"/>
      <c r="JD70" s="102"/>
      <c r="JE70" s="102"/>
      <c r="JF70" s="102"/>
      <c r="JG70" s="102"/>
      <c r="JH70" s="102"/>
      <c r="JI70" s="102"/>
      <c r="JJ70" s="102"/>
      <c r="JK70" s="102"/>
      <c r="JL70" s="102"/>
      <c r="JM70" s="102"/>
      <c r="JN70" s="102"/>
      <c r="JO70" s="102"/>
      <c r="JP70" s="102"/>
      <c r="JQ70" s="102"/>
      <c r="JR70" s="102"/>
      <c r="JS70" s="102"/>
      <c r="JT70" s="102"/>
      <c r="JU70" s="102"/>
      <c r="JV70" s="102"/>
      <c r="JW70" s="102"/>
      <c r="JX70" s="102"/>
      <c r="JY70" s="102"/>
      <c r="JZ70" s="102"/>
      <c r="KA70" s="102"/>
      <c r="KB70" s="102"/>
      <c r="KC70" s="102"/>
      <c r="KD70" s="102"/>
      <c r="KE70" s="102"/>
      <c r="KF70" s="102"/>
      <c r="KG70" s="102"/>
      <c r="KH70" s="102"/>
      <c r="KI70" s="102"/>
      <c r="KJ70" s="102"/>
      <c r="KK70" s="102"/>
      <c r="KL70" s="102"/>
      <c r="KM70" s="102"/>
      <c r="KN70" s="102"/>
      <c r="KO70" s="102"/>
      <c r="KP70" s="102"/>
      <c r="KQ70" s="102"/>
      <c r="KR70" s="102"/>
      <c r="KS70" s="102"/>
      <c r="KT70" s="102"/>
      <c r="KU70" s="102"/>
      <c r="KV70" s="102"/>
      <c r="KW70" s="102"/>
      <c r="KX70" s="102"/>
      <c r="KY70" s="102"/>
      <c r="KZ70" s="102"/>
      <c r="LA70" s="102"/>
      <c r="LB70" s="102"/>
      <c r="LC70" s="102"/>
      <c r="LD70" s="102"/>
      <c r="LE70" s="102"/>
      <c r="LF70" s="102"/>
      <c r="LG70" s="102"/>
      <c r="LH70" s="102"/>
      <c r="LI70" s="102"/>
      <c r="LJ70" s="102"/>
      <c r="LK70" s="102"/>
      <c r="LL70" s="102"/>
      <c r="LM70" s="102"/>
      <c r="LN70" s="102"/>
      <c r="LO70" s="102"/>
      <c r="LP70" s="102"/>
      <c r="LQ70" s="102"/>
      <c r="LR70" s="102"/>
      <c r="LS70" s="102"/>
      <c r="LT70" s="102"/>
      <c r="LU70" s="102"/>
      <c r="LV70" s="102"/>
      <c r="LW70" s="102"/>
      <c r="LX70" s="102"/>
      <c r="LY70" s="102"/>
    </row>
    <row r="71" ht="15" customHeight="1">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102"/>
      <c r="CX71" s="102"/>
      <c r="CY71" s="102"/>
      <c r="CZ71" s="102"/>
      <c r="DA71" s="102"/>
      <c r="DB71" s="102"/>
      <c r="DC71" s="102"/>
      <c r="DD71" s="102"/>
      <c r="DE71" s="102"/>
      <c r="DF71" s="102"/>
      <c r="DG71" s="102"/>
      <c r="DH71" s="102"/>
      <c r="DI71" s="102"/>
      <c r="DJ71" s="102"/>
      <c r="DK71" s="102"/>
      <c r="DL71" s="102"/>
      <c r="DM71" s="102"/>
      <c r="DN71" s="102"/>
      <c r="DO71" s="102"/>
      <c r="DP71" s="102"/>
      <c r="DQ71" s="102"/>
      <c r="DR71" s="102"/>
      <c r="DS71" s="102"/>
      <c r="DT71" s="102"/>
      <c r="DU71" s="102"/>
      <c r="DV71" s="102"/>
      <c r="DW71" s="102"/>
      <c r="DX71" s="102"/>
      <c r="DY71" s="102"/>
      <c r="DZ71" s="102"/>
      <c r="EA71" s="102"/>
      <c r="EB71" s="102"/>
      <c r="EC71" s="102"/>
      <c r="ED71" s="102"/>
      <c r="EE71" s="102"/>
      <c r="EF71" s="102"/>
      <c r="EG71" s="102"/>
      <c r="EH71" s="102"/>
      <c r="EI71" s="102"/>
      <c r="EJ71" s="102"/>
      <c r="EK71" s="102"/>
      <c r="EL71" s="102"/>
      <c r="EM71" s="102"/>
      <c r="EN71" s="102"/>
      <c r="EO71" s="102"/>
      <c r="EP71" s="102"/>
      <c r="EQ71" s="102"/>
      <c r="ER71" s="102"/>
      <c r="ES71" s="102"/>
      <c r="ET71" s="102"/>
      <c r="EU71" s="102"/>
      <c r="EV71" s="102"/>
      <c r="EW71" s="102"/>
      <c r="EX71" s="102"/>
      <c r="EY71" s="102"/>
      <c r="EZ71" s="102"/>
      <c r="FA71" s="102"/>
      <c r="FB71" s="102"/>
      <c r="FC71" s="102"/>
      <c r="FD71" s="102"/>
      <c r="FE71" s="102"/>
      <c r="FF71" s="102"/>
      <c r="FG71" s="102"/>
      <c r="FH71" s="102"/>
      <c r="FI71" s="102"/>
      <c r="FJ71" s="102"/>
      <c r="FK71" s="102"/>
      <c r="FL71" s="102"/>
      <c r="FM71" s="102"/>
      <c r="FN71" s="102"/>
      <c r="FO71" s="102"/>
      <c r="FP71" s="102"/>
      <c r="FQ71" s="102"/>
      <c r="FR71" s="102"/>
      <c r="FS71" s="102"/>
      <c r="FT71" s="102"/>
      <c r="FU71" s="102"/>
      <c r="FV71" s="102"/>
      <c r="FW71" s="102"/>
      <c r="FX71" s="102"/>
      <c r="FY71" s="102"/>
      <c r="FZ71" s="102"/>
      <c r="GA71" s="102"/>
      <c r="GB71" s="102"/>
      <c r="GC71" s="102"/>
      <c r="GD71" s="102"/>
      <c r="GE71" s="102"/>
      <c r="GF71" s="102"/>
      <c r="GG71" s="102"/>
      <c r="GH71" s="102"/>
      <c r="GI71" s="102"/>
      <c r="GJ71" s="102"/>
      <c r="GK71" s="102"/>
      <c r="GL71" s="102"/>
      <c r="GM71" s="102"/>
      <c r="GN71" s="102"/>
      <c r="GO71" s="102"/>
      <c r="GP71" s="102"/>
      <c r="GQ71" s="102"/>
      <c r="GR71" s="102"/>
      <c r="GS71" s="102"/>
      <c r="GT71" s="102"/>
      <c r="GU71" s="102"/>
      <c r="GV71" s="102"/>
      <c r="GW71" s="102"/>
      <c r="GX71" s="102"/>
      <c r="GY71" s="102"/>
      <c r="GZ71" s="102"/>
      <c r="HA71" s="102"/>
      <c r="HB71" s="102"/>
      <c r="HC71" s="102"/>
      <c r="HD71" s="102"/>
      <c r="HE71" s="102"/>
      <c r="HF71" s="102"/>
      <c r="HG71" s="102"/>
      <c r="HH71" s="102"/>
      <c r="HI71" s="102"/>
      <c r="HJ71" s="102"/>
      <c r="HK71" s="102"/>
      <c r="HL71" s="102"/>
      <c r="HM71" s="102"/>
      <c r="HN71" s="102"/>
      <c r="HO71" s="102"/>
      <c r="HP71" s="102"/>
      <c r="HQ71" s="102"/>
      <c r="HR71" s="102"/>
      <c r="HS71" s="102"/>
      <c r="HT71" s="102"/>
      <c r="HU71" s="102"/>
      <c r="HV71" s="102"/>
      <c r="HW71" s="102"/>
      <c r="HX71" s="102"/>
      <c r="HY71" s="102"/>
      <c r="HZ71" s="102"/>
      <c r="IA71" s="102"/>
      <c r="IB71" s="102"/>
      <c r="IC71" s="102"/>
      <c r="ID71" s="102"/>
      <c r="IE71" s="102"/>
      <c r="IF71" s="102"/>
      <c r="IG71" s="102"/>
      <c r="IH71" s="102"/>
      <c r="II71" s="102"/>
      <c r="IJ71" s="102"/>
      <c r="IK71" s="102"/>
      <c r="IL71" s="102"/>
      <c r="IM71" s="102"/>
      <c r="IN71" s="102"/>
      <c r="IO71" s="102"/>
      <c r="IP71" s="102"/>
      <c r="IQ71" s="102"/>
      <c r="IR71" s="102"/>
      <c r="IS71" s="102"/>
      <c r="IT71" s="102"/>
      <c r="IU71" s="102"/>
      <c r="IV71" s="102"/>
      <c r="IW71" s="102"/>
      <c r="IX71" s="102"/>
      <c r="IY71" s="102"/>
      <c r="IZ71" s="102"/>
      <c r="JA71" s="102"/>
      <c r="JB71" s="102"/>
      <c r="JC71" s="102"/>
      <c r="JD71" s="102"/>
      <c r="JE71" s="102"/>
      <c r="JF71" s="102"/>
      <c r="JG71" s="102"/>
      <c r="JH71" s="102"/>
      <c r="JI71" s="102"/>
      <c r="JJ71" s="102"/>
      <c r="JK71" s="102"/>
      <c r="JL71" s="102"/>
      <c r="JM71" s="102"/>
      <c r="JN71" s="102"/>
      <c r="JO71" s="102"/>
      <c r="JP71" s="102"/>
      <c r="JQ71" s="102"/>
      <c r="JR71" s="102"/>
      <c r="JS71" s="102"/>
      <c r="JT71" s="102"/>
      <c r="JU71" s="102"/>
      <c r="JV71" s="102"/>
      <c r="JW71" s="102"/>
      <c r="JX71" s="102"/>
      <c r="JY71" s="102"/>
      <c r="JZ71" s="102"/>
      <c r="KA71" s="102"/>
      <c r="KB71" s="102"/>
      <c r="KC71" s="102"/>
      <c r="KD71" s="102"/>
      <c r="KE71" s="102"/>
      <c r="KF71" s="102"/>
      <c r="KG71" s="102"/>
      <c r="KH71" s="102"/>
      <c r="KI71" s="102"/>
      <c r="KJ71" s="102"/>
      <c r="KK71" s="102"/>
      <c r="KL71" s="102"/>
      <c r="KM71" s="102"/>
      <c r="KN71" s="102"/>
      <c r="KO71" s="102"/>
      <c r="KP71" s="102"/>
      <c r="KQ71" s="102"/>
      <c r="KR71" s="102"/>
      <c r="KS71" s="102"/>
      <c r="KT71" s="102"/>
      <c r="KU71" s="102"/>
      <c r="KV71" s="102"/>
      <c r="KW71" s="102"/>
      <c r="KX71" s="102"/>
      <c r="KY71" s="102"/>
      <c r="KZ71" s="102"/>
      <c r="LA71" s="102"/>
      <c r="LB71" s="102"/>
      <c r="LC71" s="102"/>
      <c r="LD71" s="102"/>
      <c r="LE71" s="102"/>
      <c r="LF71" s="102"/>
      <c r="LG71" s="102"/>
      <c r="LH71" s="102"/>
      <c r="LI71" s="102"/>
      <c r="LJ71" s="102"/>
      <c r="LK71" s="102"/>
      <c r="LL71" s="102"/>
      <c r="LM71" s="102"/>
      <c r="LN71" s="102"/>
      <c r="LO71" s="102"/>
      <c r="LP71" s="102"/>
      <c r="LQ71" s="102"/>
      <c r="LR71" s="102"/>
      <c r="LS71" s="102"/>
      <c r="LT71" s="102"/>
      <c r="LU71" s="102"/>
      <c r="LV71" s="102"/>
      <c r="LW71" s="102"/>
      <c r="LX71" s="102"/>
      <c r="LY71" s="102"/>
    </row>
    <row r="72" ht="15" customHeight="1">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c r="EO72" s="102"/>
      <c r="EP72" s="102"/>
      <c r="EQ72" s="102"/>
      <c r="ER72" s="102"/>
      <c r="ES72" s="102"/>
      <c r="ET72" s="102"/>
      <c r="EU72" s="102"/>
      <c r="EV72" s="102"/>
      <c r="EW72" s="102"/>
      <c r="EX72" s="102"/>
      <c r="EY72" s="102"/>
      <c r="EZ72" s="102"/>
      <c r="FA72" s="102"/>
      <c r="FB72" s="102"/>
      <c r="FC72" s="102"/>
      <c r="FD72" s="102"/>
      <c r="FE72" s="102"/>
      <c r="FF72" s="102"/>
      <c r="FG72" s="102"/>
      <c r="FH72" s="102"/>
      <c r="FI72" s="102"/>
      <c r="FJ72" s="102"/>
      <c r="FK72" s="102"/>
      <c r="FL72" s="102"/>
      <c r="FM72" s="102"/>
      <c r="FN72" s="102"/>
      <c r="FO72" s="102"/>
      <c r="FP72" s="102"/>
      <c r="FQ72" s="102"/>
      <c r="FR72" s="102"/>
      <c r="FS72" s="102"/>
      <c r="FT72" s="102"/>
      <c r="FU72" s="102"/>
      <c r="FV72" s="102"/>
      <c r="FW72" s="102"/>
      <c r="FX72" s="102"/>
      <c r="FY72" s="102"/>
      <c r="FZ72" s="102"/>
      <c r="GA72" s="102"/>
      <c r="GB72" s="102"/>
      <c r="GC72" s="102"/>
      <c r="GD72" s="102"/>
      <c r="GE72" s="102"/>
      <c r="GF72" s="102"/>
      <c r="GG72" s="102"/>
      <c r="GH72" s="102"/>
      <c r="GI72" s="102"/>
      <c r="GJ72" s="102"/>
      <c r="GK72" s="102"/>
      <c r="GL72" s="102"/>
      <c r="GM72" s="102"/>
      <c r="GN72" s="102"/>
      <c r="GO72" s="102"/>
      <c r="GP72" s="102"/>
      <c r="GQ72" s="102"/>
      <c r="GR72" s="102"/>
      <c r="GS72" s="102"/>
      <c r="GT72" s="102"/>
      <c r="GU72" s="102"/>
      <c r="GV72" s="102"/>
      <c r="GW72" s="102"/>
      <c r="GX72" s="102"/>
      <c r="GY72" s="102"/>
      <c r="GZ72" s="102"/>
      <c r="HA72" s="102"/>
      <c r="HB72" s="102"/>
      <c r="HC72" s="102"/>
      <c r="HD72" s="102"/>
      <c r="HE72" s="102"/>
      <c r="HF72" s="102"/>
      <c r="HG72" s="102"/>
      <c r="HH72" s="102"/>
      <c r="HI72" s="102"/>
      <c r="HJ72" s="102"/>
      <c r="HK72" s="102"/>
      <c r="HL72" s="102"/>
      <c r="HM72" s="102"/>
      <c r="HN72" s="102"/>
      <c r="HO72" s="102"/>
      <c r="HP72" s="102"/>
      <c r="HQ72" s="102"/>
      <c r="HR72" s="102"/>
      <c r="HS72" s="102"/>
      <c r="HT72" s="102"/>
      <c r="HU72" s="102"/>
      <c r="HV72" s="102"/>
      <c r="HW72" s="102"/>
      <c r="HX72" s="102"/>
      <c r="HY72" s="102"/>
      <c r="HZ72" s="102"/>
      <c r="IA72" s="102"/>
      <c r="IB72" s="102"/>
      <c r="IC72" s="102"/>
      <c r="ID72" s="102"/>
      <c r="IE72" s="102"/>
      <c r="IF72" s="102"/>
      <c r="IG72" s="102"/>
      <c r="IH72" s="102"/>
      <c r="II72" s="102"/>
      <c r="IJ72" s="102"/>
      <c r="IK72" s="102"/>
      <c r="IL72" s="102"/>
      <c r="IM72" s="102"/>
      <c r="IN72" s="102"/>
      <c r="IO72" s="102"/>
      <c r="IP72" s="102"/>
      <c r="IQ72" s="102"/>
      <c r="IR72" s="102"/>
      <c r="IS72" s="102"/>
      <c r="IT72" s="102"/>
      <c r="IU72" s="102"/>
      <c r="IV72" s="102"/>
      <c r="IW72" s="102"/>
      <c r="IX72" s="102"/>
      <c r="IY72" s="102"/>
      <c r="IZ72" s="102"/>
      <c r="JA72" s="102"/>
      <c r="JB72" s="102"/>
      <c r="JC72" s="102"/>
      <c r="JD72" s="102"/>
      <c r="JE72" s="102"/>
      <c r="JF72" s="102"/>
      <c r="JG72" s="102"/>
      <c r="JH72" s="102"/>
      <c r="JI72" s="102"/>
      <c r="JJ72" s="102"/>
      <c r="JK72" s="102"/>
      <c r="JL72" s="102"/>
      <c r="JM72" s="102"/>
      <c r="JN72" s="102"/>
      <c r="JO72" s="102"/>
      <c r="JP72" s="102"/>
      <c r="JQ72" s="102"/>
      <c r="JR72" s="102"/>
      <c r="JS72" s="102"/>
      <c r="JT72" s="102"/>
      <c r="JU72" s="102"/>
      <c r="JV72" s="102"/>
      <c r="JW72" s="102"/>
      <c r="JX72" s="102"/>
      <c r="JY72" s="102"/>
      <c r="JZ72" s="102"/>
      <c r="KA72" s="102"/>
      <c r="KB72" s="102"/>
      <c r="KC72" s="102"/>
      <c r="KD72" s="102"/>
      <c r="KE72" s="102"/>
      <c r="KF72" s="102"/>
      <c r="KG72" s="102"/>
      <c r="KH72" s="102"/>
      <c r="KI72" s="102"/>
      <c r="KJ72" s="102"/>
      <c r="KK72" s="102"/>
      <c r="KL72" s="102"/>
      <c r="KM72" s="102"/>
      <c r="KN72" s="102"/>
      <c r="KO72" s="102"/>
      <c r="KP72" s="102"/>
      <c r="KQ72" s="102"/>
      <c r="KR72" s="102"/>
      <c r="KS72" s="102"/>
      <c r="KT72" s="102"/>
      <c r="KU72" s="102"/>
      <c r="KV72" s="102"/>
      <c r="KW72" s="102"/>
      <c r="KX72" s="102"/>
      <c r="KY72" s="102"/>
      <c r="KZ72" s="102"/>
      <c r="LA72" s="102"/>
      <c r="LB72" s="102"/>
      <c r="LC72" s="102"/>
      <c r="LD72" s="102"/>
      <c r="LE72" s="102"/>
      <c r="LF72" s="102"/>
      <c r="LG72" s="102"/>
      <c r="LH72" s="102"/>
      <c r="LI72" s="102"/>
      <c r="LJ72" s="102"/>
      <c r="LK72" s="102"/>
      <c r="LL72" s="102"/>
      <c r="LM72" s="102"/>
      <c r="LN72" s="102"/>
      <c r="LO72" s="102"/>
      <c r="LP72" s="102"/>
      <c r="LQ72" s="102"/>
      <c r="LR72" s="102"/>
      <c r="LS72" s="102"/>
      <c r="LT72" s="102"/>
      <c r="LU72" s="102"/>
      <c r="LV72" s="102"/>
      <c r="LW72" s="102"/>
      <c r="LX72" s="102"/>
      <c r="LY72" s="102"/>
    </row>
    <row r="73" ht="15" customHeight="1">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c r="EO73" s="102"/>
      <c r="EP73" s="102"/>
      <c r="EQ73" s="102"/>
      <c r="ER73" s="102"/>
      <c r="ES73" s="102"/>
      <c r="ET73" s="102"/>
      <c r="EU73" s="102"/>
      <c r="EV73" s="102"/>
      <c r="EW73" s="102"/>
      <c r="EX73" s="102"/>
      <c r="EY73" s="102"/>
      <c r="EZ73" s="102"/>
      <c r="FA73" s="102"/>
      <c r="FB73" s="102"/>
      <c r="FC73" s="102"/>
      <c r="FD73" s="102"/>
      <c r="FE73" s="102"/>
      <c r="FF73" s="102"/>
      <c r="FG73" s="102"/>
      <c r="FH73" s="102"/>
      <c r="FI73" s="102"/>
      <c r="FJ73" s="102"/>
      <c r="FK73" s="102"/>
      <c r="FL73" s="102"/>
      <c r="FM73" s="102"/>
      <c r="FN73" s="102"/>
      <c r="FO73" s="102"/>
      <c r="FP73" s="102"/>
      <c r="FQ73" s="102"/>
      <c r="FR73" s="102"/>
      <c r="FS73" s="102"/>
      <c r="FT73" s="102"/>
      <c r="FU73" s="102"/>
      <c r="FV73" s="102"/>
      <c r="FW73" s="102"/>
      <c r="FX73" s="102"/>
      <c r="FY73" s="102"/>
      <c r="FZ73" s="102"/>
      <c r="GA73" s="102"/>
      <c r="GB73" s="102"/>
      <c r="GC73" s="102"/>
      <c r="GD73" s="102"/>
      <c r="GE73" s="102"/>
      <c r="GF73" s="102"/>
      <c r="GG73" s="102"/>
      <c r="GH73" s="102"/>
      <c r="GI73" s="102"/>
      <c r="GJ73" s="102"/>
      <c r="GK73" s="102"/>
      <c r="GL73" s="102"/>
      <c r="GM73" s="102"/>
      <c r="GN73" s="102"/>
      <c r="GO73" s="102"/>
      <c r="GP73" s="102"/>
      <c r="GQ73" s="102"/>
      <c r="GR73" s="102"/>
      <c r="GS73" s="102"/>
      <c r="GT73" s="102"/>
      <c r="GU73" s="102"/>
      <c r="GV73" s="102"/>
      <c r="GW73" s="102"/>
      <c r="GX73" s="102"/>
      <c r="GY73" s="102"/>
      <c r="GZ73" s="102"/>
      <c r="HA73" s="102"/>
      <c r="HB73" s="102"/>
      <c r="HC73" s="102"/>
      <c r="HD73" s="102"/>
      <c r="HE73" s="102"/>
      <c r="HF73" s="102"/>
      <c r="HG73" s="102"/>
      <c r="HH73" s="102"/>
      <c r="HI73" s="102"/>
      <c r="HJ73" s="102"/>
      <c r="HK73" s="102"/>
      <c r="HL73" s="102"/>
      <c r="HM73" s="102"/>
      <c r="HN73" s="102"/>
      <c r="HO73" s="102"/>
      <c r="HP73" s="102"/>
      <c r="HQ73" s="102"/>
      <c r="HR73" s="102"/>
      <c r="HS73" s="102"/>
      <c r="HT73" s="102"/>
      <c r="HU73" s="102"/>
      <c r="HV73" s="102"/>
      <c r="HW73" s="102"/>
      <c r="HX73" s="102"/>
      <c r="HY73" s="102"/>
      <c r="HZ73" s="102"/>
      <c r="IA73" s="102"/>
      <c r="IB73" s="102"/>
      <c r="IC73" s="102"/>
      <c r="ID73" s="102"/>
      <c r="IE73" s="102"/>
      <c r="IF73" s="102"/>
      <c r="IG73" s="102"/>
      <c r="IH73" s="102"/>
      <c r="II73" s="102"/>
      <c r="IJ73" s="102"/>
      <c r="IK73" s="102"/>
      <c r="IL73" s="102"/>
      <c r="IM73" s="102"/>
      <c r="IN73" s="102"/>
      <c r="IO73" s="102"/>
      <c r="IP73" s="102"/>
      <c r="IQ73" s="102"/>
      <c r="IR73" s="102"/>
      <c r="IS73" s="102"/>
      <c r="IT73" s="102"/>
      <c r="IU73" s="102"/>
      <c r="IV73" s="102"/>
      <c r="IW73" s="102"/>
      <c r="IX73" s="102"/>
      <c r="IY73" s="102"/>
      <c r="IZ73" s="102"/>
      <c r="JA73" s="102"/>
      <c r="JB73" s="102"/>
      <c r="JC73" s="102"/>
      <c r="JD73" s="102"/>
      <c r="JE73" s="102"/>
      <c r="JF73" s="102"/>
      <c r="JG73" s="102"/>
      <c r="JH73" s="102"/>
      <c r="JI73" s="102"/>
      <c r="JJ73" s="102"/>
      <c r="JK73" s="102"/>
      <c r="JL73" s="102"/>
      <c r="JM73" s="102"/>
      <c r="JN73" s="102"/>
      <c r="JO73" s="102"/>
      <c r="JP73" s="102"/>
      <c r="JQ73" s="102"/>
      <c r="JR73" s="102"/>
      <c r="JS73" s="102"/>
      <c r="JT73" s="102"/>
      <c r="JU73" s="102"/>
      <c r="JV73" s="102"/>
      <c r="JW73" s="102"/>
      <c r="JX73" s="102"/>
      <c r="JY73" s="102"/>
      <c r="JZ73" s="102"/>
      <c r="KA73" s="102"/>
      <c r="KB73" s="102"/>
      <c r="KC73" s="102"/>
      <c r="KD73" s="102"/>
      <c r="KE73" s="102"/>
      <c r="KF73" s="102"/>
      <c r="KG73" s="102"/>
      <c r="KH73" s="102"/>
      <c r="KI73" s="102"/>
      <c r="KJ73" s="102"/>
      <c r="KK73" s="102"/>
      <c r="KL73" s="102"/>
      <c r="KM73" s="102"/>
      <c r="KN73" s="102"/>
      <c r="KO73" s="102"/>
      <c r="KP73" s="102"/>
      <c r="KQ73" s="102"/>
      <c r="KR73" s="102"/>
      <c r="KS73" s="102"/>
      <c r="KT73" s="102"/>
      <c r="KU73" s="102"/>
      <c r="KV73" s="102"/>
      <c r="KW73" s="102"/>
      <c r="KX73" s="102"/>
      <c r="KY73" s="102"/>
      <c r="KZ73" s="102"/>
      <c r="LA73" s="102"/>
      <c r="LB73" s="102"/>
      <c r="LC73" s="102"/>
      <c r="LD73" s="102"/>
      <c r="LE73" s="102"/>
      <c r="LF73" s="102"/>
      <c r="LG73" s="102"/>
      <c r="LH73" s="102"/>
      <c r="LI73" s="102"/>
      <c r="LJ73" s="102"/>
      <c r="LK73" s="102"/>
      <c r="LL73" s="102"/>
      <c r="LM73" s="102"/>
      <c r="LN73" s="102"/>
      <c r="LO73" s="102"/>
      <c r="LP73" s="102"/>
      <c r="LQ73" s="102"/>
      <c r="LR73" s="102"/>
      <c r="LS73" s="102"/>
      <c r="LT73" s="102"/>
      <c r="LU73" s="102"/>
      <c r="LV73" s="102"/>
      <c r="LW73" s="102"/>
      <c r="LX73" s="102"/>
      <c r="LY73" s="102"/>
    </row>
    <row r="74" ht="15" customHeight="1">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c r="EO74" s="102"/>
      <c r="EP74" s="102"/>
      <c r="EQ74" s="102"/>
      <c r="ER74" s="102"/>
      <c r="ES74" s="102"/>
      <c r="ET74" s="102"/>
      <c r="EU74" s="102"/>
      <c r="EV74" s="102"/>
      <c r="EW74" s="102"/>
      <c r="EX74" s="102"/>
      <c r="EY74" s="102"/>
      <c r="EZ74" s="102"/>
      <c r="FA74" s="102"/>
      <c r="FB74" s="102"/>
      <c r="FC74" s="102"/>
      <c r="FD74" s="102"/>
      <c r="FE74" s="102"/>
      <c r="FF74" s="102"/>
      <c r="FG74" s="102"/>
      <c r="FH74" s="102"/>
      <c r="FI74" s="102"/>
      <c r="FJ74" s="102"/>
      <c r="FK74" s="102"/>
      <c r="FL74" s="102"/>
      <c r="FM74" s="102"/>
      <c r="FN74" s="102"/>
      <c r="FO74" s="102"/>
      <c r="FP74" s="102"/>
      <c r="FQ74" s="102"/>
      <c r="FR74" s="102"/>
      <c r="FS74" s="102"/>
      <c r="FT74" s="102"/>
      <c r="FU74" s="102"/>
      <c r="FV74" s="102"/>
      <c r="FW74" s="102"/>
      <c r="FX74" s="102"/>
      <c r="FY74" s="102"/>
      <c r="FZ74" s="102"/>
      <c r="GA74" s="102"/>
      <c r="GB74" s="102"/>
      <c r="GC74" s="102"/>
      <c r="GD74" s="102"/>
      <c r="GE74" s="102"/>
      <c r="GF74" s="102"/>
      <c r="GG74" s="102"/>
      <c r="GH74" s="102"/>
      <c r="GI74" s="102"/>
      <c r="GJ74" s="102"/>
      <c r="GK74" s="102"/>
      <c r="GL74" s="102"/>
      <c r="GM74" s="102"/>
      <c r="GN74" s="102"/>
      <c r="GO74" s="102"/>
      <c r="GP74" s="102"/>
      <c r="GQ74" s="102"/>
      <c r="GR74" s="102"/>
      <c r="GS74" s="102"/>
      <c r="GT74" s="102"/>
      <c r="GU74" s="102"/>
      <c r="GV74" s="102"/>
      <c r="GW74" s="102"/>
      <c r="GX74" s="102"/>
      <c r="GY74" s="102"/>
      <c r="GZ74" s="102"/>
      <c r="HA74" s="102"/>
      <c r="HB74" s="102"/>
      <c r="HC74" s="102"/>
      <c r="HD74" s="102"/>
      <c r="HE74" s="102"/>
      <c r="HF74" s="102"/>
      <c r="HG74" s="102"/>
      <c r="HH74" s="102"/>
      <c r="HI74" s="102"/>
      <c r="HJ74" s="102"/>
      <c r="HK74" s="102"/>
      <c r="HL74" s="102"/>
      <c r="HM74" s="102"/>
      <c r="HN74" s="102"/>
      <c r="HO74" s="102"/>
      <c r="HP74" s="102"/>
      <c r="HQ74" s="102"/>
      <c r="HR74" s="102"/>
      <c r="HS74" s="102"/>
      <c r="HT74" s="102"/>
      <c r="HU74" s="102"/>
      <c r="HV74" s="102"/>
      <c r="HW74" s="102"/>
      <c r="HX74" s="102"/>
      <c r="HY74" s="102"/>
      <c r="HZ74" s="102"/>
      <c r="IA74" s="102"/>
      <c r="IB74" s="102"/>
      <c r="IC74" s="102"/>
      <c r="ID74" s="102"/>
      <c r="IE74" s="102"/>
      <c r="IF74" s="102"/>
      <c r="IG74" s="102"/>
      <c r="IH74" s="102"/>
      <c r="II74" s="102"/>
      <c r="IJ74" s="102"/>
      <c r="IK74" s="102"/>
      <c r="IL74" s="102"/>
      <c r="IM74" s="102"/>
      <c r="IN74" s="102"/>
      <c r="IO74" s="102"/>
      <c r="IP74" s="102"/>
      <c r="IQ74" s="102"/>
      <c r="IR74" s="102"/>
      <c r="IS74" s="102"/>
      <c r="IT74" s="102"/>
      <c r="IU74" s="102"/>
      <c r="IV74" s="102"/>
      <c r="IW74" s="102"/>
      <c r="IX74" s="102"/>
      <c r="IY74" s="102"/>
      <c r="IZ74" s="102"/>
      <c r="JA74" s="102"/>
      <c r="JB74" s="102"/>
      <c r="JC74" s="102"/>
      <c r="JD74" s="102"/>
      <c r="JE74" s="102"/>
      <c r="JF74" s="102"/>
      <c r="JG74" s="102"/>
      <c r="JH74" s="102"/>
      <c r="JI74" s="102"/>
      <c r="JJ74" s="102"/>
      <c r="JK74" s="102"/>
      <c r="JL74" s="102"/>
      <c r="JM74" s="102"/>
      <c r="JN74" s="102"/>
      <c r="JO74" s="102"/>
      <c r="JP74" s="102"/>
      <c r="JQ74" s="102"/>
      <c r="JR74" s="102"/>
      <c r="JS74" s="102"/>
      <c r="JT74" s="102"/>
      <c r="JU74" s="102"/>
      <c r="JV74" s="102"/>
      <c r="JW74" s="102"/>
      <c r="JX74" s="102"/>
      <c r="JY74" s="102"/>
      <c r="JZ74" s="102"/>
      <c r="KA74" s="102"/>
      <c r="KB74" s="102"/>
      <c r="KC74" s="102"/>
      <c r="KD74" s="102"/>
      <c r="KE74" s="102"/>
      <c r="KF74" s="102"/>
      <c r="KG74" s="102"/>
      <c r="KH74" s="102"/>
      <c r="KI74" s="102"/>
      <c r="KJ74" s="102"/>
      <c r="KK74" s="102"/>
      <c r="KL74" s="102"/>
      <c r="KM74" s="102"/>
      <c r="KN74" s="102"/>
      <c r="KO74" s="102"/>
      <c r="KP74" s="102"/>
      <c r="KQ74" s="102"/>
      <c r="KR74" s="102"/>
      <c r="KS74" s="102"/>
      <c r="KT74" s="102"/>
      <c r="KU74" s="102"/>
      <c r="KV74" s="102"/>
      <c r="KW74" s="102"/>
      <c r="KX74" s="102"/>
      <c r="KY74" s="102"/>
      <c r="KZ74" s="102"/>
      <c r="LA74" s="102"/>
      <c r="LB74" s="102"/>
      <c r="LC74" s="102"/>
      <c r="LD74" s="102"/>
      <c r="LE74" s="102"/>
      <c r="LF74" s="102"/>
      <c r="LG74" s="102"/>
      <c r="LH74" s="102"/>
      <c r="LI74" s="102"/>
      <c r="LJ74" s="102"/>
      <c r="LK74" s="102"/>
      <c r="LL74" s="102"/>
      <c r="LM74" s="102"/>
      <c r="LN74" s="102"/>
      <c r="LO74" s="102"/>
      <c r="LP74" s="102"/>
      <c r="LQ74" s="102"/>
      <c r="LR74" s="102"/>
      <c r="LS74" s="102"/>
      <c r="LT74" s="102"/>
      <c r="LU74" s="102"/>
      <c r="LV74" s="102"/>
      <c r="LW74" s="102"/>
      <c r="LX74" s="102"/>
      <c r="LY74" s="102"/>
    </row>
    <row r="75" ht="15" customHeight="1">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c r="EO75" s="102"/>
      <c r="EP75" s="102"/>
      <c r="EQ75" s="102"/>
      <c r="ER75" s="102"/>
      <c r="ES75" s="102"/>
      <c r="ET75" s="102"/>
      <c r="EU75" s="102"/>
      <c r="EV75" s="102"/>
      <c r="EW75" s="102"/>
      <c r="EX75" s="102"/>
      <c r="EY75" s="102"/>
      <c r="EZ75" s="102"/>
      <c r="FA75" s="102"/>
      <c r="FB75" s="102"/>
      <c r="FC75" s="102"/>
      <c r="FD75" s="102"/>
      <c r="FE75" s="102"/>
      <c r="FF75" s="102"/>
      <c r="FG75" s="102"/>
      <c r="FH75" s="102"/>
      <c r="FI75" s="102"/>
      <c r="FJ75" s="102"/>
      <c r="FK75" s="102"/>
      <c r="FL75" s="102"/>
      <c r="FM75" s="102"/>
      <c r="FN75" s="102"/>
      <c r="FO75" s="102"/>
      <c r="FP75" s="102"/>
      <c r="FQ75" s="102"/>
      <c r="FR75" s="102"/>
      <c r="FS75" s="102"/>
      <c r="FT75" s="102"/>
      <c r="FU75" s="102"/>
      <c r="FV75" s="102"/>
      <c r="FW75" s="102"/>
      <c r="FX75" s="102"/>
      <c r="FY75" s="102"/>
      <c r="FZ75" s="102"/>
      <c r="GA75" s="102"/>
      <c r="GB75" s="102"/>
      <c r="GC75" s="102"/>
      <c r="GD75" s="102"/>
      <c r="GE75" s="102"/>
      <c r="GF75" s="102"/>
      <c r="GG75" s="102"/>
      <c r="GH75" s="102"/>
      <c r="GI75" s="102"/>
      <c r="GJ75" s="102"/>
      <c r="GK75" s="102"/>
      <c r="GL75" s="102"/>
      <c r="GM75" s="102"/>
      <c r="GN75" s="102"/>
      <c r="GO75" s="102"/>
      <c r="GP75" s="102"/>
      <c r="GQ75" s="102"/>
      <c r="GR75" s="102"/>
      <c r="GS75" s="102"/>
      <c r="GT75" s="102"/>
      <c r="GU75" s="102"/>
      <c r="GV75" s="102"/>
      <c r="GW75" s="102"/>
      <c r="GX75" s="102"/>
      <c r="GY75" s="102"/>
      <c r="GZ75" s="102"/>
      <c r="HA75" s="102"/>
      <c r="HB75" s="102"/>
      <c r="HC75" s="102"/>
      <c r="HD75" s="102"/>
      <c r="HE75" s="102"/>
      <c r="HF75" s="102"/>
      <c r="HG75" s="102"/>
      <c r="HH75" s="102"/>
      <c r="HI75" s="102"/>
      <c r="HJ75" s="102"/>
      <c r="HK75" s="102"/>
      <c r="HL75" s="102"/>
      <c r="HM75" s="102"/>
      <c r="HN75" s="102"/>
      <c r="HO75" s="102"/>
      <c r="HP75" s="102"/>
      <c r="HQ75" s="102"/>
      <c r="HR75" s="102"/>
      <c r="HS75" s="102"/>
      <c r="HT75" s="102"/>
      <c r="HU75" s="102"/>
      <c r="HV75" s="102"/>
      <c r="HW75" s="102"/>
      <c r="HX75" s="102"/>
      <c r="HY75" s="102"/>
      <c r="HZ75" s="102"/>
      <c r="IA75" s="102"/>
      <c r="IB75" s="102"/>
      <c r="IC75" s="102"/>
      <c r="ID75" s="102"/>
      <c r="IE75" s="102"/>
      <c r="IF75" s="102"/>
      <c r="IG75" s="102"/>
      <c r="IH75" s="102"/>
      <c r="II75" s="102"/>
      <c r="IJ75" s="102"/>
      <c r="IK75" s="102"/>
      <c r="IL75" s="102"/>
      <c r="IM75" s="102"/>
      <c r="IN75" s="102"/>
      <c r="IO75" s="102"/>
      <c r="IP75" s="102"/>
      <c r="IQ75" s="102"/>
      <c r="IR75" s="102"/>
      <c r="IS75" s="102"/>
      <c r="IT75" s="102"/>
      <c r="IU75" s="102"/>
      <c r="IV75" s="102"/>
      <c r="IW75" s="102"/>
      <c r="IX75" s="102"/>
      <c r="IY75" s="102"/>
      <c r="IZ75" s="102"/>
      <c r="JA75" s="102"/>
      <c r="JB75" s="102"/>
      <c r="JC75" s="102"/>
      <c r="JD75" s="102"/>
      <c r="JE75" s="102"/>
      <c r="JF75" s="102"/>
      <c r="JG75" s="102"/>
      <c r="JH75" s="102"/>
      <c r="JI75" s="102"/>
      <c r="JJ75" s="102"/>
      <c r="JK75" s="102"/>
      <c r="JL75" s="102"/>
      <c r="JM75" s="102"/>
      <c r="JN75" s="102"/>
      <c r="JO75" s="102"/>
      <c r="JP75" s="102"/>
      <c r="JQ75" s="102"/>
      <c r="JR75" s="102"/>
      <c r="JS75" s="102"/>
      <c r="JT75" s="102"/>
      <c r="JU75" s="102"/>
      <c r="JV75" s="102"/>
      <c r="JW75" s="102"/>
      <c r="JX75" s="102"/>
      <c r="JY75" s="102"/>
      <c r="JZ75" s="102"/>
      <c r="KA75" s="102"/>
      <c r="KB75" s="102"/>
      <c r="KC75" s="102"/>
      <c r="KD75" s="102"/>
      <c r="KE75" s="102"/>
      <c r="KF75" s="102"/>
      <c r="KG75" s="102"/>
      <c r="KH75" s="102"/>
      <c r="KI75" s="102"/>
      <c r="KJ75" s="102"/>
      <c r="KK75" s="102"/>
      <c r="KL75" s="102"/>
      <c r="KM75" s="102"/>
      <c r="KN75" s="102"/>
      <c r="KO75" s="102"/>
      <c r="KP75" s="102"/>
      <c r="KQ75" s="102"/>
      <c r="KR75" s="102"/>
      <c r="KS75" s="102"/>
      <c r="KT75" s="102"/>
      <c r="KU75" s="102"/>
      <c r="KV75" s="102"/>
      <c r="KW75" s="102"/>
      <c r="KX75" s="102"/>
      <c r="KY75" s="102"/>
      <c r="KZ75" s="102"/>
      <c r="LA75" s="102"/>
      <c r="LB75" s="102"/>
      <c r="LC75" s="102"/>
      <c r="LD75" s="102"/>
      <c r="LE75" s="102"/>
      <c r="LF75" s="102"/>
      <c r="LG75" s="102"/>
      <c r="LH75" s="102"/>
      <c r="LI75" s="102"/>
      <c r="LJ75" s="102"/>
      <c r="LK75" s="102"/>
      <c r="LL75" s="102"/>
      <c r="LM75" s="102"/>
      <c r="LN75" s="102"/>
      <c r="LO75" s="102"/>
      <c r="LP75" s="102"/>
      <c r="LQ75" s="102"/>
      <c r="LR75" s="102"/>
      <c r="LS75" s="102"/>
      <c r="LT75" s="102"/>
      <c r="LU75" s="102"/>
      <c r="LV75" s="102"/>
      <c r="LW75" s="102"/>
      <c r="LX75" s="102"/>
      <c r="LY75" s="102"/>
    </row>
    <row r="76" ht="15" customHeight="1">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c r="EO76" s="102"/>
      <c r="EP76" s="102"/>
      <c r="EQ76" s="102"/>
      <c r="ER76" s="102"/>
      <c r="ES76" s="102"/>
      <c r="ET76" s="102"/>
      <c r="EU76" s="102"/>
      <c r="EV76" s="102"/>
      <c r="EW76" s="102"/>
      <c r="EX76" s="102"/>
      <c r="EY76" s="102"/>
      <c r="EZ76" s="102"/>
      <c r="FA76" s="102"/>
      <c r="FB76" s="102"/>
      <c r="FC76" s="102"/>
      <c r="FD76" s="102"/>
      <c r="FE76" s="102"/>
      <c r="FF76" s="102"/>
      <c r="FG76" s="102"/>
      <c r="FH76" s="102"/>
      <c r="FI76" s="102"/>
      <c r="FJ76" s="102"/>
      <c r="FK76" s="102"/>
      <c r="FL76" s="102"/>
      <c r="FM76" s="102"/>
      <c r="FN76" s="102"/>
      <c r="FO76" s="102"/>
      <c r="FP76" s="102"/>
      <c r="FQ76" s="102"/>
      <c r="FR76" s="102"/>
      <c r="FS76" s="102"/>
      <c r="FT76" s="102"/>
      <c r="FU76" s="102"/>
      <c r="FV76" s="102"/>
      <c r="FW76" s="102"/>
      <c r="FX76" s="102"/>
      <c r="FY76" s="102"/>
      <c r="FZ76" s="102"/>
      <c r="GA76" s="102"/>
      <c r="GB76" s="102"/>
      <c r="GC76" s="102"/>
      <c r="GD76" s="102"/>
      <c r="GE76" s="102"/>
      <c r="GF76" s="102"/>
      <c r="GG76" s="102"/>
      <c r="GH76" s="102"/>
      <c r="GI76" s="102"/>
      <c r="GJ76" s="102"/>
      <c r="GK76" s="102"/>
      <c r="GL76" s="102"/>
      <c r="GM76" s="102"/>
      <c r="GN76" s="102"/>
      <c r="GO76" s="102"/>
      <c r="GP76" s="102"/>
      <c r="GQ76" s="102"/>
      <c r="GR76" s="102"/>
      <c r="GS76" s="102"/>
      <c r="GT76" s="102"/>
      <c r="GU76" s="102"/>
      <c r="GV76" s="102"/>
      <c r="GW76" s="102"/>
      <c r="GX76" s="102"/>
      <c r="GY76" s="102"/>
      <c r="GZ76" s="102"/>
      <c r="HA76" s="102"/>
      <c r="HB76" s="102"/>
      <c r="HC76" s="102"/>
      <c r="HD76" s="102"/>
      <c r="HE76" s="102"/>
      <c r="HF76" s="102"/>
      <c r="HG76" s="102"/>
      <c r="HH76" s="102"/>
      <c r="HI76" s="102"/>
      <c r="HJ76" s="102"/>
      <c r="HK76" s="102"/>
      <c r="HL76" s="102"/>
      <c r="HM76" s="102"/>
      <c r="HN76" s="102"/>
      <c r="HO76" s="102"/>
      <c r="HP76" s="102"/>
      <c r="HQ76" s="102"/>
      <c r="HR76" s="102"/>
      <c r="HS76" s="102"/>
      <c r="HT76" s="102"/>
      <c r="HU76" s="102"/>
      <c r="HV76" s="102"/>
      <c r="HW76" s="102"/>
      <c r="HX76" s="102"/>
      <c r="HY76" s="102"/>
      <c r="HZ76" s="102"/>
      <c r="IA76" s="102"/>
      <c r="IB76" s="102"/>
      <c r="IC76" s="102"/>
      <c r="ID76" s="102"/>
      <c r="IE76" s="102"/>
      <c r="IF76" s="102"/>
      <c r="IG76" s="102"/>
      <c r="IH76" s="102"/>
      <c r="II76" s="102"/>
      <c r="IJ76" s="102"/>
      <c r="IK76" s="102"/>
      <c r="IL76" s="102"/>
      <c r="IM76" s="102"/>
      <c r="IN76" s="102"/>
      <c r="IO76" s="102"/>
      <c r="IP76" s="102"/>
      <c r="IQ76" s="102"/>
      <c r="IR76" s="102"/>
      <c r="IS76" s="102"/>
      <c r="IT76" s="102"/>
      <c r="IU76" s="102"/>
      <c r="IV76" s="102"/>
      <c r="IW76" s="102"/>
      <c r="IX76" s="102"/>
      <c r="IY76" s="102"/>
      <c r="IZ76" s="102"/>
      <c r="JA76" s="102"/>
      <c r="JB76" s="102"/>
      <c r="JC76" s="102"/>
      <c r="JD76" s="102"/>
      <c r="JE76" s="102"/>
      <c r="JF76" s="102"/>
      <c r="JG76" s="102"/>
      <c r="JH76" s="102"/>
      <c r="JI76" s="102"/>
      <c r="JJ76" s="102"/>
      <c r="JK76" s="102"/>
      <c r="JL76" s="102"/>
      <c r="JM76" s="102"/>
      <c r="JN76" s="102"/>
      <c r="JO76" s="102"/>
      <c r="JP76" s="102"/>
      <c r="JQ76" s="102"/>
      <c r="JR76" s="102"/>
      <c r="JS76" s="102"/>
      <c r="JT76" s="102"/>
      <c r="JU76" s="102"/>
      <c r="JV76" s="102"/>
      <c r="JW76" s="102"/>
      <c r="JX76" s="102"/>
      <c r="JY76" s="102"/>
      <c r="JZ76" s="102"/>
      <c r="KA76" s="102"/>
      <c r="KB76" s="102"/>
      <c r="KC76" s="102"/>
      <c r="KD76" s="102"/>
      <c r="KE76" s="102"/>
      <c r="KF76" s="102"/>
      <c r="KG76" s="102"/>
      <c r="KH76" s="102"/>
      <c r="KI76" s="102"/>
      <c r="KJ76" s="102"/>
      <c r="KK76" s="102"/>
      <c r="KL76" s="102"/>
      <c r="KM76" s="102"/>
      <c r="KN76" s="102"/>
      <c r="KO76" s="102"/>
      <c r="KP76" s="102"/>
      <c r="KQ76" s="102"/>
      <c r="KR76" s="102"/>
      <c r="KS76" s="102"/>
      <c r="KT76" s="102"/>
      <c r="KU76" s="102"/>
      <c r="KV76" s="102"/>
      <c r="KW76" s="102"/>
      <c r="KX76" s="102"/>
      <c r="KY76" s="102"/>
      <c r="KZ76" s="102"/>
      <c r="LA76" s="102"/>
      <c r="LB76" s="102"/>
      <c r="LC76" s="102"/>
      <c r="LD76" s="102"/>
      <c r="LE76" s="102"/>
      <c r="LF76" s="102"/>
      <c r="LG76" s="102"/>
      <c r="LH76" s="102"/>
      <c r="LI76" s="102"/>
      <c r="LJ76" s="102"/>
      <c r="LK76" s="102"/>
      <c r="LL76" s="102"/>
      <c r="LM76" s="102"/>
      <c r="LN76" s="102"/>
      <c r="LO76" s="102"/>
      <c r="LP76" s="102"/>
      <c r="LQ76" s="102"/>
      <c r="LR76" s="102"/>
      <c r="LS76" s="102"/>
      <c r="LT76" s="102"/>
      <c r="LU76" s="102"/>
      <c r="LV76" s="102"/>
      <c r="LW76" s="102"/>
      <c r="LX76" s="102"/>
      <c r="LY76" s="102"/>
    </row>
    <row r="77" ht="15" customHeight="1">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c r="EO77" s="102"/>
      <c r="EP77" s="102"/>
      <c r="EQ77" s="102"/>
      <c r="ER77" s="102"/>
      <c r="ES77" s="102"/>
      <c r="ET77" s="102"/>
      <c r="EU77" s="102"/>
      <c r="EV77" s="102"/>
      <c r="EW77" s="102"/>
      <c r="EX77" s="102"/>
      <c r="EY77" s="102"/>
      <c r="EZ77" s="102"/>
      <c r="FA77" s="102"/>
      <c r="FB77" s="102"/>
      <c r="FC77" s="102"/>
      <c r="FD77" s="102"/>
      <c r="FE77" s="102"/>
      <c r="FF77" s="102"/>
      <c r="FG77" s="102"/>
      <c r="FH77" s="102"/>
      <c r="FI77" s="102"/>
      <c r="FJ77" s="102"/>
      <c r="FK77" s="102"/>
      <c r="FL77" s="102"/>
      <c r="FM77" s="102"/>
      <c r="FN77" s="102"/>
      <c r="FO77" s="102"/>
      <c r="FP77" s="102"/>
      <c r="FQ77" s="102"/>
      <c r="FR77" s="102"/>
      <c r="FS77" s="102"/>
      <c r="FT77" s="102"/>
      <c r="FU77" s="102"/>
      <c r="FV77" s="102"/>
      <c r="FW77" s="102"/>
      <c r="FX77" s="102"/>
      <c r="FY77" s="102"/>
      <c r="FZ77" s="102"/>
      <c r="GA77" s="102"/>
      <c r="GB77" s="102"/>
      <c r="GC77" s="102"/>
      <c r="GD77" s="102"/>
      <c r="GE77" s="102"/>
      <c r="GF77" s="102"/>
      <c r="GG77" s="102"/>
      <c r="GH77" s="102"/>
      <c r="GI77" s="102"/>
      <c r="GJ77" s="102"/>
      <c r="GK77" s="102"/>
      <c r="GL77" s="102"/>
      <c r="GM77" s="102"/>
      <c r="GN77" s="102"/>
      <c r="GO77" s="102"/>
      <c r="GP77" s="102"/>
      <c r="GQ77" s="102"/>
      <c r="GR77" s="102"/>
      <c r="GS77" s="102"/>
      <c r="GT77" s="102"/>
      <c r="GU77" s="102"/>
      <c r="GV77" s="102"/>
      <c r="GW77" s="102"/>
      <c r="GX77" s="102"/>
      <c r="GY77" s="102"/>
      <c r="GZ77" s="102"/>
      <c r="HA77" s="102"/>
      <c r="HB77" s="102"/>
      <c r="HC77" s="102"/>
      <c r="HD77" s="102"/>
      <c r="HE77" s="102"/>
      <c r="HF77" s="102"/>
      <c r="HG77" s="102"/>
      <c r="HH77" s="102"/>
      <c r="HI77" s="102"/>
      <c r="HJ77" s="102"/>
      <c r="HK77" s="102"/>
      <c r="HL77" s="102"/>
      <c r="HM77" s="102"/>
      <c r="HN77" s="102"/>
      <c r="HO77" s="102"/>
      <c r="HP77" s="102"/>
      <c r="HQ77" s="102"/>
      <c r="HR77" s="102"/>
      <c r="HS77" s="102"/>
      <c r="HT77" s="102"/>
      <c r="HU77" s="102"/>
      <c r="HV77" s="102"/>
      <c r="HW77" s="102"/>
      <c r="HX77" s="102"/>
      <c r="HY77" s="102"/>
      <c r="HZ77" s="102"/>
      <c r="IA77" s="102"/>
      <c r="IB77" s="102"/>
      <c r="IC77" s="102"/>
      <c r="ID77" s="102"/>
      <c r="IE77" s="102"/>
      <c r="IF77" s="102"/>
      <c r="IG77" s="102"/>
      <c r="IH77" s="102"/>
      <c r="II77" s="102"/>
      <c r="IJ77" s="102"/>
      <c r="IK77" s="102"/>
      <c r="IL77" s="102"/>
      <c r="IM77" s="102"/>
      <c r="IN77" s="102"/>
      <c r="IO77" s="102"/>
      <c r="IP77" s="102"/>
      <c r="IQ77" s="102"/>
      <c r="IR77" s="102"/>
      <c r="IS77" s="102"/>
      <c r="IT77" s="102"/>
      <c r="IU77" s="102"/>
      <c r="IV77" s="102"/>
      <c r="IW77" s="102"/>
      <c r="IX77" s="102"/>
      <c r="IY77" s="102"/>
      <c r="IZ77" s="102"/>
      <c r="JA77" s="102"/>
      <c r="JB77" s="102"/>
      <c r="JC77" s="102"/>
      <c r="JD77" s="102"/>
      <c r="JE77" s="102"/>
      <c r="JF77" s="102"/>
      <c r="JG77" s="102"/>
      <c r="JH77" s="102"/>
      <c r="JI77" s="102"/>
      <c r="JJ77" s="102"/>
      <c r="JK77" s="102"/>
      <c r="JL77" s="102"/>
      <c r="JM77" s="102"/>
      <c r="JN77" s="102"/>
      <c r="JO77" s="102"/>
      <c r="JP77" s="102"/>
      <c r="JQ77" s="102"/>
      <c r="JR77" s="102"/>
      <c r="JS77" s="102"/>
      <c r="JT77" s="102"/>
      <c r="JU77" s="102"/>
      <c r="JV77" s="102"/>
      <c r="JW77" s="102"/>
      <c r="JX77" s="102"/>
      <c r="JY77" s="102"/>
      <c r="JZ77" s="102"/>
      <c r="KA77" s="102"/>
      <c r="KB77" s="102"/>
      <c r="KC77" s="102"/>
      <c r="KD77" s="102"/>
      <c r="KE77" s="102"/>
      <c r="KF77" s="102"/>
      <c r="KG77" s="102"/>
      <c r="KH77" s="102"/>
      <c r="KI77" s="102"/>
      <c r="KJ77" s="102"/>
      <c r="KK77" s="102"/>
      <c r="KL77" s="102"/>
      <c r="KM77" s="102"/>
      <c r="KN77" s="102"/>
      <c r="KO77" s="102"/>
      <c r="KP77" s="102"/>
      <c r="KQ77" s="102"/>
      <c r="KR77" s="102"/>
      <c r="KS77" s="102"/>
      <c r="KT77" s="102"/>
      <c r="KU77" s="102"/>
      <c r="KV77" s="102"/>
      <c r="KW77" s="102"/>
      <c r="KX77" s="102"/>
      <c r="KY77" s="102"/>
      <c r="KZ77" s="102"/>
      <c r="LA77" s="102"/>
      <c r="LB77" s="102"/>
      <c r="LC77" s="102"/>
      <c r="LD77" s="102"/>
      <c r="LE77" s="102"/>
      <c r="LF77" s="102"/>
      <c r="LG77" s="102"/>
      <c r="LH77" s="102"/>
      <c r="LI77" s="102"/>
      <c r="LJ77" s="102"/>
      <c r="LK77" s="102"/>
      <c r="LL77" s="102"/>
      <c r="LM77" s="102"/>
      <c r="LN77" s="102"/>
      <c r="LO77" s="102"/>
      <c r="LP77" s="102"/>
      <c r="LQ77" s="102"/>
      <c r="LR77" s="102"/>
      <c r="LS77" s="102"/>
      <c r="LT77" s="102"/>
      <c r="LU77" s="102"/>
      <c r="LV77" s="102"/>
      <c r="LW77" s="102"/>
      <c r="LX77" s="102"/>
      <c r="LY77" s="102"/>
    </row>
    <row r="78" ht="15" customHeight="1">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c r="EO78" s="102"/>
      <c r="EP78" s="102"/>
      <c r="EQ78" s="102"/>
      <c r="ER78" s="102"/>
      <c r="ES78" s="102"/>
      <c r="ET78" s="102"/>
      <c r="EU78" s="102"/>
      <c r="EV78" s="102"/>
      <c r="EW78" s="102"/>
      <c r="EX78" s="102"/>
      <c r="EY78" s="102"/>
      <c r="EZ78" s="102"/>
      <c r="FA78" s="102"/>
      <c r="FB78" s="102"/>
      <c r="FC78" s="102"/>
      <c r="FD78" s="102"/>
      <c r="FE78" s="102"/>
      <c r="FF78" s="102"/>
      <c r="FG78" s="102"/>
      <c r="FH78" s="102"/>
      <c r="FI78" s="102"/>
      <c r="FJ78" s="102"/>
      <c r="FK78" s="102"/>
      <c r="FL78" s="102"/>
      <c r="FM78" s="102"/>
      <c r="FN78" s="102"/>
      <c r="FO78" s="102"/>
      <c r="FP78" s="102"/>
      <c r="FQ78" s="102"/>
      <c r="FR78" s="102"/>
      <c r="FS78" s="102"/>
      <c r="FT78" s="102"/>
      <c r="FU78" s="102"/>
      <c r="FV78" s="102"/>
      <c r="FW78" s="102"/>
      <c r="FX78" s="102"/>
      <c r="FY78" s="102"/>
      <c r="FZ78" s="102"/>
      <c r="GA78" s="102"/>
      <c r="GB78" s="102"/>
      <c r="GC78" s="102"/>
      <c r="GD78" s="102"/>
      <c r="GE78" s="102"/>
      <c r="GF78" s="102"/>
      <c r="GG78" s="102"/>
      <c r="GH78" s="102"/>
      <c r="GI78" s="102"/>
      <c r="GJ78" s="102"/>
      <c r="GK78" s="102"/>
      <c r="GL78" s="102"/>
      <c r="GM78" s="102"/>
      <c r="GN78" s="102"/>
      <c r="GO78" s="102"/>
      <c r="GP78" s="102"/>
      <c r="GQ78" s="102"/>
      <c r="GR78" s="102"/>
      <c r="GS78" s="102"/>
      <c r="GT78" s="102"/>
      <c r="GU78" s="102"/>
      <c r="GV78" s="102"/>
      <c r="GW78" s="102"/>
      <c r="GX78" s="102"/>
      <c r="GY78" s="102"/>
      <c r="GZ78" s="102"/>
      <c r="HA78" s="102"/>
      <c r="HB78" s="102"/>
      <c r="HC78" s="102"/>
      <c r="HD78" s="102"/>
      <c r="HE78" s="102"/>
      <c r="HF78" s="102"/>
      <c r="HG78" s="102"/>
      <c r="HH78" s="102"/>
      <c r="HI78" s="102"/>
      <c r="HJ78" s="102"/>
      <c r="HK78" s="102"/>
      <c r="HL78" s="102"/>
      <c r="HM78" s="102"/>
      <c r="HN78" s="102"/>
      <c r="HO78" s="102"/>
      <c r="HP78" s="102"/>
      <c r="HQ78" s="102"/>
      <c r="HR78" s="102"/>
      <c r="HS78" s="102"/>
      <c r="HT78" s="102"/>
      <c r="HU78" s="102"/>
      <c r="HV78" s="102"/>
      <c r="HW78" s="102"/>
      <c r="HX78" s="102"/>
      <c r="HY78" s="102"/>
      <c r="HZ78" s="102"/>
      <c r="IA78" s="102"/>
      <c r="IB78" s="102"/>
      <c r="IC78" s="102"/>
      <c r="ID78" s="102"/>
      <c r="IE78" s="102"/>
      <c r="IF78" s="102"/>
      <c r="IG78" s="102"/>
      <c r="IH78" s="102"/>
      <c r="II78" s="102"/>
      <c r="IJ78" s="102"/>
      <c r="IK78" s="102"/>
      <c r="IL78" s="102"/>
      <c r="IM78" s="102"/>
      <c r="IN78" s="102"/>
      <c r="IO78" s="102"/>
      <c r="IP78" s="102"/>
      <c r="IQ78" s="102"/>
      <c r="IR78" s="102"/>
      <c r="IS78" s="102"/>
      <c r="IT78" s="102"/>
      <c r="IU78" s="102"/>
      <c r="IV78" s="102"/>
      <c r="IW78" s="102"/>
      <c r="IX78" s="102"/>
      <c r="IY78" s="102"/>
      <c r="IZ78" s="102"/>
      <c r="JA78" s="102"/>
      <c r="JB78" s="102"/>
      <c r="JC78" s="102"/>
      <c r="JD78" s="102"/>
      <c r="JE78" s="102"/>
      <c r="JF78" s="102"/>
      <c r="JG78" s="102"/>
      <c r="JH78" s="102"/>
      <c r="JI78" s="102"/>
      <c r="JJ78" s="102"/>
      <c r="JK78" s="102"/>
      <c r="JL78" s="102"/>
      <c r="JM78" s="102"/>
      <c r="JN78" s="102"/>
      <c r="JO78" s="102"/>
      <c r="JP78" s="102"/>
      <c r="JQ78" s="102"/>
      <c r="JR78" s="102"/>
      <c r="JS78" s="102"/>
      <c r="JT78" s="102"/>
      <c r="JU78" s="102"/>
      <c r="JV78" s="102"/>
      <c r="JW78" s="102"/>
      <c r="JX78" s="102"/>
      <c r="JY78" s="102"/>
      <c r="JZ78" s="102"/>
      <c r="KA78" s="102"/>
      <c r="KB78" s="102"/>
      <c r="KC78" s="102"/>
      <c r="KD78" s="102"/>
      <c r="KE78" s="102"/>
      <c r="KF78" s="102"/>
      <c r="KG78" s="102"/>
      <c r="KH78" s="102"/>
      <c r="KI78" s="102"/>
      <c r="KJ78" s="102"/>
      <c r="KK78" s="102"/>
      <c r="KL78" s="102"/>
      <c r="KM78" s="102"/>
      <c r="KN78" s="102"/>
      <c r="KO78" s="102"/>
      <c r="KP78" s="102"/>
      <c r="KQ78" s="102"/>
      <c r="KR78" s="102"/>
      <c r="KS78" s="102"/>
      <c r="KT78" s="102"/>
      <c r="KU78" s="102"/>
      <c r="KV78" s="102"/>
      <c r="KW78" s="102"/>
      <c r="KX78" s="102"/>
      <c r="KY78" s="102"/>
      <c r="KZ78" s="102"/>
      <c r="LA78" s="102"/>
      <c r="LB78" s="102"/>
      <c r="LC78" s="102"/>
      <c r="LD78" s="102"/>
      <c r="LE78" s="102"/>
      <c r="LF78" s="102"/>
      <c r="LG78" s="102"/>
      <c r="LH78" s="102"/>
      <c r="LI78" s="102"/>
      <c r="LJ78" s="102"/>
      <c r="LK78" s="102"/>
      <c r="LL78" s="102"/>
      <c r="LM78" s="102"/>
      <c r="LN78" s="102"/>
      <c r="LO78" s="102"/>
      <c r="LP78" s="102"/>
      <c r="LQ78" s="102"/>
      <c r="LR78" s="102"/>
      <c r="LS78" s="102"/>
      <c r="LT78" s="102"/>
      <c r="LU78" s="102"/>
      <c r="LV78" s="102"/>
      <c r="LW78" s="102"/>
      <c r="LX78" s="102"/>
      <c r="LY78" s="102"/>
    </row>
    <row r="79" ht="15" customHeight="1">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c r="ER79" s="102"/>
      <c r="ES79" s="102"/>
      <c r="ET79" s="102"/>
      <c r="EU79" s="102"/>
      <c r="EV79" s="102"/>
      <c r="EW79" s="102"/>
      <c r="EX79" s="102"/>
      <c r="EY79" s="102"/>
      <c r="EZ79" s="102"/>
      <c r="FA79" s="102"/>
      <c r="FB79" s="102"/>
      <c r="FC79" s="102"/>
      <c r="FD79" s="102"/>
      <c r="FE79" s="102"/>
      <c r="FF79" s="102"/>
      <c r="FG79" s="102"/>
      <c r="FH79" s="102"/>
      <c r="FI79" s="102"/>
      <c r="FJ79" s="102"/>
      <c r="FK79" s="102"/>
      <c r="FL79" s="102"/>
      <c r="FM79" s="102"/>
      <c r="FN79" s="102"/>
      <c r="FO79" s="102"/>
      <c r="FP79" s="102"/>
      <c r="FQ79" s="102"/>
      <c r="FR79" s="102"/>
      <c r="FS79" s="102"/>
      <c r="FT79" s="102"/>
      <c r="FU79" s="102"/>
      <c r="FV79" s="102"/>
      <c r="FW79" s="102"/>
      <c r="FX79" s="102"/>
      <c r="FY79" s="102"/>
      <c r="FZ79" s="102"/>
      <c r="GA79" s="102"/>
      <c r="GB79" s="102"/>
      <c r="GC79" s="102"/>
      <c r="GD79" s="102"/>
      <c r="GE79" s="102"/>
      <c r="GF79" s="102"/>
      <c r="GG79" s="102"/>
      <c r="GH79" s="102"/>
      <c r="GI79" s="102"/>
      <c r="GJ79" s="102"/>
      <c r="GK79" s="102"/>
      <c r="GL79" s="102"/>
      <c r="GM79" s="102"/>
      <c r="GN79" s="102"/>
      <c r="GO79" s="102"/>
      <c r="GP79" s="102"/>
      <c r="GQ79" s="102"/>
      <c r="GR79" s="102"/>
      <c r="GS79" s="102"/>
      <c r="GT79" s="102"/>
      <c r="GU79" s="102"/>
      <c r="GV79" s="102"/>
      <c r="GW79" s="102"/>
      <c r="GX79" s="102"/>
      <c r="GY79" s="102"/>
      <c r="GZ79" s="102"/>
      <c r="HA79" s="102"/>
      <c r="HB79" s="102"/>
      <c r="HC79" s="102"/>
      <c r="HD79" s="102"/>
      <c r="HE79" s="102"/>
      <c r="HF79" s="102"/>
      <c r="HG79" s="102"/>
      <c r="HH79" s="102"/>
      <c r="HI79" s="102"/>
      <c r="HJ79" s="102"/>
      <c r="HK79" s="102"/>
      <c r="HL79" s="102"/>
      <c r="HM79" s="102"/>
      <c r="HN79" s="102"/>
      <c r="HO79" s="102"/>
      <c r="HP79" s="102"/>
      <c r="HQ79" s="102"/>
      <c r="HR79" s="102"/>
      <c r="HS79" s="102"/>
      <c r="HT79" s="102"/>
      <c r="HU79" s="102"/>
      <c r="HV79" s="102"/>
      <c r="HW79" s="102"/>
      <c r="HX79" s="102"/>
      <c r="HY79" s="102"/>
      <c r="HZ79" s="102"/>
      <c r="IA79" s="102"/>
      <c r="IB79" s="102"/>
      <c r="IC79" s="102"/>
      <c r="ID79" s="102"/>
      <c r="IE79" s="102"/>
      <c r="IF79" s="102"/>
      <c r="IG79" s="102"/>
      <c r="IH79" s="102"/>
      <c r="II79" s="102"/>
      <c r="IJ79" s="102"/>
      <c r="IK79" s="102"/>
      <c r="IL79" s="102"/>
      <c r="IM79" s="102"/>
      <c r="IN79" s="102"/>
      <c r="IO79" s="102"/>
      <c r="IP79" s="102"/>
      <c r="IQ79" s="102"/>
      <c r="IR79" s="102"/>
      <c r="IS79" s="102"/>
      <c r="IT79" s="102"/>
      <c r="IU79" s="102"/>
      <c r="IV79" s="102"/>
      <c r="IW79" s="102"/>
      <c r="IX79" s="102"/>
      <c r="IY79" s="102"/>
      <c r="IZ79" s="102"/>
      <c r="JA79" s="102"/>
      <c r="JB79" s="102"/>
      <c r="JC79" s="102"/>
      <c r="JD79" s="102"/>
      <c r="JE79" s="102"/>
      <c r="JF79" s="102"/>
      <c r="JG79" s="102"/>
      <c r="JH79" s="102"/>
      <c r="JI79" s="102"/>
      <c r="JJ79" s="102"/>
      <c r="JK79" s="102"/>
      <c r="JL79" s="102"/>
      <c r="JM79" s="102"/>
      <c r="JN79" s="102"/>
      <c r="JO79" s="102"/>
      <c r="JP79" s="102"/>
      <c r="JQ79" s="102"/>
      <c r="JR79" s="102"/>
      <c r="JS79" s="102"/>
      <c r="JT79" s="102"/>
      <c r="JU79" s="102"/>
      <c r="JV79" s="102"/>
      <c r="JW79" s="102"/>
      <c r="JX79" s="102"/>
      <c r="JY79" s="102"/>
      <c r="JZ79" s="102"/>
      <c r="KA79" s="102"/>
      <c r="KB79" s="102"/>
      <c r="KC79" s="102"/>
      <c r="KD79" s="102"/>
      <c r="KE79" s="102"/>
      <c r="KF79" s="102"/>
      <c r="KG79" s="102"/>
      <c r="KH79" s="102"/>
      <c r="KI79" s="102"/>
      <c r="KJ79" s="102"/>
      <c r="KK79" s="102"/>
      <c r="KL79" s="102"/>
      <c r="KM79" s="102"/>
      <c r="KN79" s="102"/>
      <c r="KO79" s="102"/>
      <c r="KP79" s="102"/>
      <c r="KQ79" s="102"/>
      <c r="KR79" s="102"/>
      <c r="KS79" s="102"/>
      <c r="KT79" s="102"/>
      <c r="KU79" s="102"/>
      <c r="KV79" s="102"/>
      <c r="KW79" s="102"/>
      <c r="KX79" s="102"/>
      <c r="KY79" s="102"/>
      <c r="KZ79" s="102"/>
      <c r="LA79" s="102"/>
      <c r="LB79" s="102"/>
      <c r="LC79" s="102"/>
      <c r="LD79" s="102"/>
      <c r="LE79" s="102"/>
      <c r="LF79" s="102"/>
      <c r="LG79" s="102"/>
      <c r="LH79" s="102"/>
      <c r="LI79" s="102"/>
      <c r="LJ79" s="102"/>
      <c r="LK79" s="102"/>
      <c r="LL79" s="102"/>
      <c r="LM79" s="102"/>
      <c r="LN79" s="102"/>
      <c r="LO79" s="102"/>
      <c r="LP79" s="102"/>
      <c r="LQ79" s="102"/>
      <c r="LR79" s="102"/>
      <c r="LS79" s="102"/>
      <c r="LT79" s="102"/>
      <c r="LU79" s="102"/>
      <c r="LV79" s="102"/>
      <c r="LW79" s="102"/>
      <c r="LX79" s="102"/>
      <c r="LY79" s="102"/>
    </row>
    <row r="80" ht="15" customHeight="1">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c r="EO80" s="102"/>
      <c r="EP80" s="102"/>
      <c r="EQ80" s="102"/>
      <c r="ER80" s="102"/>
      <c r="ES80" s="102"/>
      <c r="ET80" s="102"/>
      <c r="EU80" s="102"/>
      <c r="EV80" s="102"/>
      <c r="EW80" s="102"/>
      <c r="EX80" s="102"/>
      <c r="EY80" s="102"/>
      <c r="EZ80" s="102"/>
      <c r="FA80" s="102"/>
      <c r="FB80" s="102"/>
      <c r="FC80" s="102"/>
      <c r="FD80" s="102"/>
      <c r="FE80" s="102"/>
      <c r="FF80" s="102"/>
      <c r="FG80" s="102"/>
      <c r="FH80" s="102"/>
      <c r="FI80" s="102"/>
      <c r="FJ80" s="102"/>
      <c r="FK80" s="102"/>
      <c r="FL80" s="102"/>
      <c r="FM80" s="102"/>
      <c r="FN80" s="102"/>
      <c r="FO80" s="102"/>
      <c r="FP80" s="102"/>
      <c r="FQ80" s="102"/>
      <c r="FR80" s="102"/>
      <c r="FS80" s="102"/>
      <c r="FT80" s="102"/>
      <c r="FU80" s="102"/>
      <c r="FV80" s="102"/>
      <c r="FW80" s="102"/>
      <c r="FX80" s="102"/>
      <c r="FY80" s="102"/>
      <c r="FZ80" s="102"/>
      <c r="GA80" s="102"/>
      <c r="GB80" s="102"/>
      <c r="GC80" s="102"/>
      <c r="GD80" s="102"/>
      <c r="GE80" s="102"/>
      <c r="GF80" s="102"/>
      <c r="GG80" s="102"/>
      <c r="GH80" s="102"/>
      <c r="GI80" s="102"/>
      <c r="GJ80" s="102"/>
      <c r="GK80" s="102"/>
      <c r="GL80" s="102"/>
      <c r="GM80" s="102"/>
      <c r="GN80" s="102"/>
      <c r="GO80" s="102"/>
      <c r="GP80" s="102"/>
      <c r="GQ80" s="102"/>
      <c r="GR80" s="102"/>
      <c r="GS80" s="102"/>
      <c r="GT80" s="102"/>
      <c r="GU80" s="102"/>
      <c r="GV80" s="102"/>
      <c r="GW80" s="102"/>
      <c r="GX80" s="102"/>
      <c r="GY80" s="102"/>
      <c r="GZ80" s="102"/>
      <c r="HA80" s="102"/>
      <c r="HB80" s="102"/>
      <c r="HC80" s="102"/>
      <c r="HD80" s="102"/>
      <c r="HE80" s="102"/>
      <c r="HF80" s="102"/>
      <c r="HG80" s="102"/>
      <c r="HH80" s="102"/>
      <c r="HI80" s="102"/>
      <c r="HJ80" s="102"/>
      <c r="HK80" s="102"/>
      <c r="HL80" s="102"/>
      <c r="HM80" s="102"/>
      <c r="HN80" s="102"/>
      <c r="HO80" s="102"/>
      <c r="HP80" s="102"/>
      <c r="HQ80" s="102"/>
      <c r="HR80" s="102"/>
      <c r="HS80" s="102"/>
      <c r="HT80" s="102"/>
      <c r="HU80" s="102"/>
      <c r="HV80" s="102"/>
      <c r="HW80" s="102"/>
      <c r="HX80" s="102"/>
      <c r="HY80" s="102"/>
      <c r="HZ80" s="102"/>
      <c r="IA80" s="102"/>
      <c r="IB80" s="102"/>
      <c r="IC80" s="102"/>
      <c r="ID80" s="102"/>
      <c r="IE80" s="102"/>
      <c r="IF80" s="102"/>
      <c r="IG80" s="102"/>
      <c r="IH80" s="102"/>
      <c r="II80" s="102"/>
      <c r="IJ80" s="102"/>
      <c r="IK80" s="102"/>
      <c r="IL80" s="102"/>
      <c r="IM80" s="102"/>
      <c r="IN80" s="102"/>
      <c r="IO80" s="102"/>
      <c r="IP80" s="102"/>
      <c r="IQ80" s="102"/>
      <c r="IR80" s="102"/>
      <c r="IS80" s="102"/>
      <c r="IT80" s="102"/>
      <c r="IU80" s="102"/>
      <c r="IV80" s="102"/>
      <c r="IW80" s="102"/>
      <c r="IX80" s="102"/>
      <c r="IY80" s="102"/>
      <c r="IZ80" s="102"/>
      <c r="JA80" s="102"/>
      <c r="JB80" s="102"/>
      <c r="JC80" s="102"/>
      <c r="JD80" s="102"/>
      <c r="JE80" s="102"/>
      <c r="JF80" s="102"/>
      <c r="JG80" s="102"/>
      <c r="JH80" s="102"/>
      <c r="JI80" s="102"/>
      <c r="JJ80" s="102"/>
      <c r="JK80" s="102"/>
      <c r="JL80" s="102"/>
      <c r="JM80" s="102"/>
      <c r="JN80" s="102"/>
      <c r="JO80" s="102"/>
      <c r="JP80" s="102"/>
      <c r="JQ80" s="102"/>
      <c r="JR80" s="102"/>
      <c r="JS80" s="102"/>
      <c r="JT80" s="102"/>
      <c r="JU80" s="102"/>
      <c r="JV80" s="102"/>
      <c r="JW80" s="102"/>
      <c r="JX80" s="102"/>
      <c r="JY80" s="102"/>
      <c r="JZ80" s="102"/>
      <c r="KA80" s="102"/>
      <c r="KB80" s="102"/>
      <c r="KC80" s="102"/>
      <c r="KD80" s="102"/>
      <c r="KE80" s="102"/>
      <c r="KF80" s="102"/>
      <c r="KG80" s="102"/>
      <c r="KH80" s="102"/>
      <c r="KI80" s="102"/>
      <c r="KJ80" s="102"/>
      <c r="KK80" s="102"/>
      <c r="KL80" s="102"/>
      <c r="KM80" s="102"/>
      <c r="KN80" s="102"/>
      <c r="KO80" s="102"/>
      <c r="KP80" s="102"/>
      <c r="KQ80" s="102"/>
      <c r="KR80" s="102"/>
      <c r="KS80" s="102"/>
      <c r="KT80" s="102"/>
      <c r="KU80" s="102"/>
      <c r="KV80" s="102"/>
      <c r="KW80" s="102"/>
      <c r="KX80" s="102"/>
      <c r="KY80" s="102"/>
      <c r="KZ80" s="102"/>
      <c r="LA80" s="102"/>
      <c r="LB80" s="102"/>
      <c r="LC80" s="102"/>
      <c r="LD80" s="102"/>
      <c r="LE80" s="102"/>
      <c r="LF80" s="102"/>
      <c r="LG80" s="102"/>
      <c r="LH80" s="102"/>
      <c r="LI80" s="102"/>
      <c r="LJ80" s="102"/>
      <c r="LK80" s="102"/>
      <c r="LL80" s="102"/>
      <c r="LM80" s="102"/>
      <c r="LN80" s="102"/>
      <c r="LO80" s="102"/>
      <c r="LP80" s="102"/>
      <c r="LQ80" s="102"/>
      <c r="LR80" s="102"/>
      <c r="LS80" s="102"/>
      <c r="LT80" s="102"/>
      <c r="LU80" s="102"/>
      <c r="LV80" s="102"/>
      <c r="LW80" s="102"/>
      <c r="LX80" s="102"/>
      <c r="LY80" s="102"/>
    </row>
    <row r="81" ht="15" customHeight="1">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c r="EO81" s="102"/>
      <c r="EP81" s="102"/>
      <c r="EQ81" s="102"/>
      <c r="ER81" s="102"/>
      <c r="ES81" s="102"/>
      <c r="ET81" s="102"/>
      <c r="EU81" s="102"/>
      <c r="EV81" s="102"/>
      <c r="EW81" s="102"/>
      <c r="EX81" s="102"/>
      <c r="EY81" s="102"/>
      <c r="EZ81" s="102"/>
      <c r="FA81" s="102"/>
      <c r="FB81" s="102"/>
      <c r="FC81" s="102"/>
      <c r="FD81" s="102"/>
      <c r="FE81" s="102"/>
      <c r="FF81" s="102"/>
      <c r="FG81" s="102"/>
      <c r="FH81" s="102"/>
      <c r="FI81" s="102"/>
      <c r="FJ81" s="102"/>
      <c r="FK81" s="102"/>
      <c r="FL81" s="102"/>
      <c r="FM81" s="102"/>
      <c r="FN81" s="102"/>
      <c r="FO81" s="102"/>
      <c r="FP81" s="102"/>
      <c r="FQ81" s="102"/>
      <c r="FR81" s="102"/>
      <c r="FS81" s="102"/>
      <c r="FT81" s="102"/>
      <c r="FU81" s="102"/>
      <c r="FV81" s="102"/>
      <c r="FW81" s="102"/>
      <c r="FX81" s="102"/>
      <c r="FY81" s="102"/>
      <c r="FZ81" s="102"/>
      <c r="GA81" s="102"/>
      <c r="GB81" s="102"/>
      <c r="GC81" s="102"/>
      <c r="GD81" s="102"/>
      <c r="GE81" s="102"/>
      <c r="GF81" s="102"/>
      <c r="GG81" s="102"/>
      <c r="GH81" s="102"/>
      <c r="GI81" s="102"/>
      <c r="GJ81" s="102"/>
      <c r="GK81" s="102"/>
      <c r="GL81" s="102"/>
      <c r="GM81" s="102"/>
      <c r="GN81" s="102"/>
      <c r="GO81" s="102"/>
      <c r="GP81" s="102"/>
      <c r="GQ81" s="102"/>
      <c r="GR81" s="102"/>
      <c r="GS81" s="102"/>
      <c r="GT81" s="102"/>
      <c r="GU81" s="102"/>
      <c r="GV81" s="102"/>
      <c r="GW81" s="102"/>
      <c r="GX81" s="102"/>
      <c r="GY81" s="102"/>
      <c r="GZ81" s="102"/>
      <c r="HA81" s="102"/>
      <c r="HB81" s="102"/>
      <c r="HC81" s="102"/>
      <c r="HD81" s="102"/>
      <c r="HE81" s="102"/>
      <c r="HF81" s="102"/>
      <c r="HG81" s="102"/>
      <c r="HH81" s="102"/>
      <c r="HI81" s="102"/>
      <c r="HJ81" s="102"/>
      <c r="HK81" s="102"/>
      <c r="HL81" s="102"/>
      <c r="HM81" s="102"/>
      <c r="HN81" s="102"/>
      <c r="HO81" s="102"/>
      <c r="HP81" s="102"/>
      <c r="HQ81" s="102"/>
      <c r="HR81" s="102"/>
      <c r="HS81" s="102"/>
      <c r="HT81" s="102"/>
      <c r="HU81" s="102"/>
      <c r="HV81" s="102"/>
      <c r="HW81" s="102"/>
      <c r="HX81" s="102"/>
      <c r="HY81" s="102"/>
      <c r="HZ81" s="102"/>
      <c r="IA81" s="102"/>
      <c r="IB81" s="102"/>
      <c r="IC81" s="102"/>
      <c r="ID81" s="102"/>
      <c r="IE81" s="102"/>
      <c r="IF81" s="102"/>
      <c r="IG81" s="102"/>
      <c r="IH81" s="102"/>
      <c r="II81" s="102"/>
      <c r="IJ81" s="102"/>
      <c r="IK81" s="102"/>
      <c r="IL81" s="102"/>
      <c r="IM81" s="102"/>
      <c r="IN81" s="102"/>
      <c r="IO81" s="102"/>
      <c r="IP81" s="102"/>
      <c r="IQ81" s="102"/>
      <c r="IR81" s="102"/>
      <c r="IS81" s="102"/>
      <c r="IT81" s="102"/>
      <c r="IU81" s="102"/>
      <c r="IV81" s="102"/>
      <c r="IW81" s="102"/>
      <c r="IX81" s="102"/>
      <c r="IY81" s="102"/>
      <c r="IZ81" s="102"/>
      <c r="JA81" s="102"/>
      <c r="JB81" s="102"/>
      <c r="JC81" s="102"/>
      <c r="JD81" s="102"/>
      <c r="JE81" s="102"/>
      <c r="JF81" s="102"/>
      <c r="JG81" s="102"/>
      <c r="JH81" s="102"/>
      <c r="JI81" s="102"/>
      <c r="JJ81" s="102"/>
      <c r="JK81" s="102"/>
      <c r="JL81" s="102"/>
      <c r="JM81" s="102"/>
      <c r="JN81" s="102"/>
      <c r="JO81" s="102"/>
      <c r="JP81" s="102"/>
      <c r="JQ81" s="102"/>
      <c r="JR81" s="102"/>
      <c r="JS81" s="102"/>
      <c r="JT81" s="102"/>
      <c r="JU81" s="102"/>
      <c r="JV81" s="102"/>
      <c r="JW81" s="102"/>
      <c r="JX81" s="102"/>
      <c r="JY81" s="102"/>
      <c r="JZ81" s="102"/>
      <c r="KA81" s="102"/>
      <c r="KB81" s="102"/>
      <c r="KC81" s="102"/>
      <c r="KD81" s="102"/>
      <c r="KE81" s="102"/>
      <c r="KF81" s="102"/>
      <c r="KG81" s="102"/>
      <c r="KH81" s="102"/>
      <c r="KI81" s="102"/>
      <c r="KJ81" s="102"/>
      <c r="KK81" s="102"/>
      <c r="KL81" s="102"/>
      <c r="KM81" s="102"/>
      <c r="KN81" s="102"/>
      <c r="KO81" s="102"/>
      <c r="KP81" s="102"/>
      <c r="KQ81" s="102"/>
      <c r="KR81" s="102"/>
      <c r="KS81" s="102"/>
      <c r="KT81" s="102"/>
      <c r="KU81" s="102"/>
      <c r="KV81" s="102"/>
      <c r="KW81" s="102"/>
      <c r="KX81" s="102"/>
      <c r="KY81" s="102"/>
      <c r="KZ81" s="102"/>
      <c r="LA81" s="102"/>
      <c r="LB81" s="102"/>
      <c r="LC81" s="102"/>
      <c r="LD81" s="102"/>
      <c r="LE81" s="102"/>
      <c r="LF81" s="102"/>
      <c r="LG81" s="102"/>
      <c r="LH81" s="102"/>
      <c r="LI81" s="102"/>
      <c r="LJ81" s="102"/>
      <c r="LK81" s="102"/>
      <c r="LL81" s="102"/>
      <c r="LM81" s="102"/>
      <c r="LN81" s="102"/>
      <c r="LO81" s="102"/>
      <c r="LP81" s="102"/>
      <c r="LQ81" s="102"/>
      <c r="LR81" s="102"/>
      <c r="LS81" s="102"/>
      <c r="LT81" s="102"/>
      <c r="LU81" s="102"/>
      <c r="LV81" s="102"/>
      <c r="LW81" s="102"/>
      <c r="LX81" s="102"/>
      <c r="LY81" s="102"/>
    </row>
    <row r="82" ht="15" customHeight="1">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c r="EO82" s="102"/>
      <c r="EP82" s="102"/>
      <c r="EQ82" s="102"/>
      <c r="ER82" s="102"/>
      <c r="ES82" s="102"/>
      <c r="ET82" s="102"/>
      <c r="EU82" s="102"/>
      <c r="EV82" s="102"/>
      <c r="EW82" s="102"/>
      <c r="EX82" s="102"/>
      <c r="EY82" s="102"/>
      <c r="EZ82" s="102"/>
      <c r="FA82" s="102"/>
      <c r="FB82" s="102"/>
      <c r="FC82" s="102"/>
      <c r="FD82" s="102"/>
      <c r="FE82" s="102"/>
      <c r="FF82" s="102"/>
      <c r="FG82" s="102"/>
      <c r="FH82" s="102"/>
      <c r="FI82" s="102"/>
      <c r="FJ82" s="102"/>
      <c r="FK82" s="102"/>
      <c r="FL82" s="102"/>
      <c r="FM82" s="102"/>
      <c r="FN82" s="102"/>
      <c r="FO82" s="102"/>
      <c r="FP82" s="102"/>
      <c r="FQ82" s="102"/>
      <c r="FR82" s="102"/>
      <c r="FS82" s="102"/>
      <c r="FT82" s="102"/>
      <c r="FU82" s="102"/>
      <c r="FV82" s="102"/>
      <c r="FW82" s="102"/>
      <c r="FX82" s="102"/>
      <c r="FY82" s="102"/>
      <c r="FZ82" s="102"/>
      <c r="GA82" s="102"/>
      <c r="GB82" s="102"/>
      <c r="GC82" s="102"/>
      <c r="GD82" s="102"/>
      <c r="GE82" s="102"/>
      <c r="GF82" s="102"/>
      <c r="GG82" s="102"/>
      <c r="GH82" s="102"/>
      <c r="GI82" s="102"/>
      <c r="GJ82" s="102"/>
      <c r="GK82" s="102"/>
      <c r="GL82" s="102"/>
      <c r="GM82" s="102"/>
      <c r="GN82" s="102"/>
      <c r="GO82" s="102"/>
      <c r="GP82" s="102"/>
      <c r="GQ82" s="102"/>
      <c r="GR82" s="102"/>
      <c r="GS82" s="102"/>
      <c r="GT82" s="102"/>
      <c r="GU82" s="102"/>
      <c r="GV82" s="102"/>
      <c r="GW82" s="102"/>
      <c r="GX82" s="102"/>
      <c r="GY82" s="102"/>
      <c r="GZ82" s="102"/>
      <c r="HA82" s="102"/>
      <c r="HB82" s="102"/>
      <c r="HC82" s="102"/>
      <c r="HD82" s="102"/>
      <c r="HE82" s="102"/>
      <c r="HF82" s="102"/>
      <c r="HG82" s="102"/>
      <c r="HH82" s="102"/>
      <c r="HI82" s="102"/>
      <c r="HJ82" s="102"/>
      <c r="HK82" s="102"/>
      <c r="HL82" s="102"/>
      <c r="HM82" s="102"/>
      <c r="HN82" s="102"/>
      <c r="HO82" s="102"/>
      <c r="HP82" s="102"/>
      <c r="HQ82" s="102"/>
      <c r="HR82" s="102"/>
      <c r="HS82" s="102"/>
      <c r="HT82" s="102"/>
      <c r="HU82" s="102"/>
      <c r="HV82" s="102"/>
      <c r="HW82" s="102"/>
      <c r="HX82" s="102"/>
      <c r="HY82" s="102"/>
      <c r="HZ82" s="102"/>
      <c r="IA82" s="102"/>
      <c r="IB82" s="102"/>
      <c r="IC82" s="102"/>
      <c r="ID82" s="102"/>
      <c r="IE82" s="102"/>
      <c r="IF82" s="102"/>
      <c r="IG82" s="102"/>
      <c r="IH82" s="102"/>
      <c r="II82" s="102"/>
      <c r="IJ82" s="102"/>
      <c r="IK82" s="102"/>
      <c r="IL82" s="102"/>
      <c r="IM82" s="102"/>
      <c r="IN82" s="102"/>
      <c r="IO82" s="102"/>
      <c r="IP82" s="102"/>
      <c r="IQ82" s="102"/>
      <c r="IR82" s="102"/>
      <c r="IS82" s="102"/>
      <c r="IT82" s="102"/>
      <c r="IU82" s="102"/>
      <c r="IV82" s="102"/>
      <c r="IW82" s="102"/>
      <c r="IX82" s="102"/>
      <c r="IY82" s="102"/>
      <c r="IZ82" s="102"/>
      <c r="JA82" s="102"/>
      <c r="JB82" s="102"/>
      <c r="JC82" s="102"/>
      <c r="JD82" s="102"/>
      <c r="JE82" s="102"/>
      <c r="JF82" s="102"/>
      <c r="JG82" s="102"/>
      <c r="JH82" s="102"/>
      <c r="JI82" s="102"/>
      <c r="JJ82" s="102"/>
      <c r="JK82" s="102"/>
      <c r="JL82" s="102"/>
      <c r="JM82" s="102"/>
      <c r="JN82" s="102"/>
      <c r="JO82" s="102"/>
      <c r="JP82" s="102"/>
      <c r="JQ82" s="102"/>
      <c r="JR82" s="102"/>
      <c r="JS82" s="102"/>
      <c r="JT82" s="102"/>
      <c r="JU82" s="102"/>
      <c r="JV82" s="102"/>
      <c r="JW82" s="102"/>
      <c r="JX82" s="102"/>
      <c r="JY82" s="102"/>
      <c r="JZ82" s="102"/>
      <c r="KA82" s="102"/>
      <c r="KB82" s="102"/>
      <c r="KC82" s="102"/>
      <c r="KD82" s="102"/>
      <c r="KE82" s="102"/>
      <c r="KF82" s="102"/>
      <c r="KG82" s="102"/>
      <c r="KH82" s="102"/>
      <c r="KI82" s="102"/>
      <c r="KJ82" s="102"/>
      <c r="KK82" s="102"/>
      <c r="KL82" s="102"/>
      <c r="KM82" s="102"/>
      <c r="KN82" s="102"/>
      <c r="KO82" s="102"/>
      <c r="KP82" s="102"/>
      <c r="KQ82" s="102"/>
      <c r="KR82" s="102"/>
      <c r="KS82" s="102"/>
      <c r="KT82" s="102"/>
      <c r="KU82" s="102"/>
      <c r="KV82" s="102"/>
      <c r="KW82" s="102"/>
      <c r="KX82" s="102"/>
      <c r="KY82" s="102"/>
      <c r="KZ82" s="102"/>
      <c r="LA82" s="102"/>
      <c r="LB82" s="102"/>
      <c r="LC82" s="102"/>
      <c r="LD82" s="102"/>
      <c r="LE82" s="102"/>
      <c r="LF82" s="102"/>
      <c r="LG82" s="102"/>
      <c r="LH82" s="102"/>
      <c r="LI82" s="102"/>
      <c r="LJ82" s="102"/>
      <c r="LK82" s="102"/>
      <c r="LL82" s="102"/>
      <c r="LM82" s="102"/>
      <c r="LN82" s="102"/>
      <c r="LO82" s="102"/>
      <c r="LP82" s="102"/>
      <c r="LQ82" s="102"/>
      <c r="LR82" s="102"/>
      <c r="LS82" s="102"/>
      <c r="LT82" s="102"/>
      <c r="LU82" s="102"/>
      <c r="LV82" s="102"/>
      <c r="LW82" s="102"/>
      <c r="LX82" s="102"/>
      <c r="LY82" s="102"/>
    </row>
    <row r="83" ht="15" customHeight="1">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c r="EO83" s="102"/>
      <c r="EP83" s="102"/>
      <c r="EQ83" s="102"/>
      <c r="ER83" s="102"/>
      <c r="ES83" s="102"/>
      <c r="ET83" s="102"/>
      <c r="EU83" s="102"/>
      <c r="EV83" s="102"/>
      <c r="EW83" s="102"/>
      <c r="EX83" s="102"/>
      <c r="EY83" s="102"/>
      <c r="EZ83" s="102"/>
      <c r="FA83" s="102"/>
      <c r="FB83" s="102"/>
      <c r="FC83" s="102"/>
      <c r="FD83" s="102"/>
      <c r="FE83" s="102"/>
      <c r="FF83" s="102"/>
      <c r="FG83" s="102"/>
      <c r="FH83" s="102"/>
      <c r="FI83" s="102"/>
      <c r="FJ83" s="102"/>
      <c r="FK83" s="102"/>
      <c r="FL83" s="102"/>
      <c r="FM83" s="102"/>
      <c r="FN83" s="102"/>
      <c r="FO83" s="102"/>
      <c r="FP83" s="102"/>
      <c r="FQ83" s="102"/>
      <c r="FR83" s="102"/>
      <c r="FS83" s="102"/>
      <c r="FT83" s="102"/>
      <c r="FU83" s="102"/>
      <c r="FV83" s="102"/>
      <c r="FW83" s="102"/>
      <c r="FX83" s="102"/>
      <c r="FY83" s="102"/>
      <c r="FZ83" s="102"/>
      <c r="GA83" s="102"/>
      <c r="GB83" s="102"/>
      <c r="GC83" s="102"/>
      <c r="GD83" s="102"/>
      <c r="GE83" s="102"/>
      <c r="GF83" s="102"/>
      <c r="GG83" s="102"/>
      <c r="GH83" s="102"/>
      <c r="GI83" s="102"/>
      <c r="GJ83" s="102"/>
      <c r="GK83" s="102"/>
      <c r="GL83" s="102"/>
      <c r="GM83" s="102"/>
      <c r="GN83" s="102"/>
      <c r="GO83" s="102"/>
      <c r="GP83" s="102"/>
      <c r="GQ83" s="102"/>
      <c r="GR83" s="102"/>
      <c r="GS83" s="102"/>
      <c r="GT83" s="102"/>
      <c r="GU83" s="102"/>
      <c r="GV83" s="102"/>
      <c r="GW83" s="102"/>
      <c r="GX83" s="102"/>
      <c r="GY83" s="102"/>
      <c r="GZ83" s="102"/>
      <c r="HA83" s="102"/>
      <c r="HB83" s="102"/>
      <c r="HC83" s="102"/>
      <c r="HD83" s="102"/>
      <c r="HE83" s="102"/>
      <c r="HF83" s="102"/>
      <c r="HG83" s="102"/>
      <c r="HH83" s="102"/>
      <c r="HI83" s="102"/>
      <c r="HJ83" s="102"/>
      <c r="HK83" s="102"/>
      <c r="HL83" s="102"/>
      <c r="HM83" s="102"/>
      <c r="HN83" s="102"/>
      <c r="HO83" s="102"/>
      <c r="HP83" s="102"/>
      <c r="HQ83" s="102"/>
      <c r="HR83" s="102"/>
      <c r="HS83" s="102"/>
      <c r="HT83" s="102"/>
      <c r="HU83" s="102"/>
      <c r="HV83" s="102"/>
      <c r="HW83" s="102"/>
      <c r="HX83" s="102"/>
      <c r="HY83" s="102"/>
      <c r="HZ83" s="102"/>
      <c r="IA83" s="102"/>
      <c r="IB83" s="102"/>
      <c r="IC83" s="102"/>
      <c r="ID83" s="102"/>
      <c r="IE83" s="102"/>
      <c r="IF83" s="102"/>
      <c r="IG83" s="102"/>
      <c r="IH83" s="102"/>
      <c r="II83" s="102"/>
      <c r="IJ83" s="102"/>
      <c r="IK83" s="102"/>
      <c r="IL83" s="102"/>
      <c r="IM83" s="102"/>
      <c r="IN83" s="102"/>
      <c r="IO83" s="102"/>
      <c r="IP83" s="102"/>
      <c r="IQ83" s="102"/>
      <c r="IR83" s="102"/>
      <c r="IS83" s="102"/>
      <c r="IT83" s="102"/>
      <c r="IU83" s="102"/>
      <c r="IV83" s="102"/>
      <c r="IW83" s="102"/>
      <c r="IX83" s="102"/>
      <c r="IY83" s="102"/>
      <c r="IZ83" s="102"/>
      <c r="JA83" s="102"/>
      <c r="JB83" s="102"/>
      <c r="JC83" s="102"/>
      <c r="JD83" s="102"/>
      <c r="JE83" s="102"/>
      <c r="JF83" s="102"/>
      <c r="JG83" s="102"/>
      <c r="JH83" s="102"/>
      <c r="JI83" s="102"/>
      <c r="JJ83" s="102"/>
      <c r="JK83" s="102"/>
      <c r="JL83" s="102"/>
      <c r="JM83" s="102"/>
      <c r="JN83" s="102"/>
      <c r="JO83" s="102"/>
      <c r="JP83" s="102"/>
      <c r="JQ83" s="102"/>
      <c r="JR83" s="102"/>
      <c r="JS83" s="102"/>
      <c r="JT83" s="102"/>
      <c r="JU83" s="102"/>
      <c r="JV83" s="102"/>
      <c r="JW83" s="102"/>
      <c r="JX83" s="102"/>
      <c r="JY83" s="102"/>
      <c r="JZ83" s="102"/>
      <c r="KA83" s="102"/>
      <c r="KB83" s="102"/>
      <c r="KC83" s="102"/>
      <c r="KD83" s="102"/>
      <c r="KE83" s="102"/>
      <c r="KF83" s="102"/>
      <c r="KG83" s="102"/>
      <c r="KH83" s="102"/>
      <c r="KI83" s="102"/>
      <c r="KJ83" s="102"/>
      <c r="KK83" s="102"/>
      <c r="KL83" s="102"/>
      <c r="KM83" s="102"/>
      <c r="KN83" s="102"/>
      <c r="KO83" s="102"/>
      <c r="KP83" s="102"/>
      <c r="KQ83" s="102"/>
      <c r="KR83" s="102"/>
      <c r="KS83" s="102"/>
      <c r="KT83" s="102"/>
      <c r="KU83" s="102"/>
      <c r="KV83" s="102"/>
      <c r="KW83" s="102"/>
      <c r="KX83" s="102"/>
      <c r="KY83" s="102"/>
      <c r="KZ83" s="102"/>
      <c r="LA83" s="102"/>
      <c r="LB83" s="102"/>
      <c r="LC83" s="102"/>
      <c r="LD83" s="102"/>
      <c r="LE83" s="102"/>
      <c r="LF83" s="102"/>
      <c r="LG83" s="102"/>
      <c r="LH83" s="102"/>
      <c r="LI83" s="102"/>
      <c r="LJ83" s="102"/>
      <c r="LK83" s="102"/>
      <c r="LL83" s="102"/>
      <c r="LM83" s="102"/>
      <c r="LN83" s="102"/>
      <c r="LO83" s="102"/>
      <c r="LP83" s="102"/>
      <c r="LQ83" s="102"/>
      <c r="LR83" s="102"/>
      <c r="LS83" s="102"/>
      <c r="LT83" s="102"/>
      <c r="LU83" s="102"/>
      <c r="LV83" s="102"/>
      <c r="LW83" s="102"/>
      <c r="LX83" s="102"/>
      <c r="LY83" s="102"/>
    </row>
    <row r="84" ht="15" customHeight="1">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c r="EO84" s="102"/>
      <c r="EP84" s="102"/>
      <c r="EQ84" s="102"/>
      <c r="ER84" s="102"/>
      <c r="ES84" s="102"/>
      <c r="ET84" s="102"/>
      <c r="EU84" s="102"/>
      <c r="EV84" s="102"/>
      <c r="EW84" s="102"/>
      <c r="EX84" s="102"/>
      <c r="EY84" s="102"/>
      <c r="EZ84" s="102"/>
      <c r="FA84" s="102"/>
      <c r="FB84" s="102"/>
      <c r="FC84" s="102"/>
      <c r="FD84" s="102"/>
      <c r="FE84" s="102"/>
      <c r="FF84" s="102"/>
      <c r="FG84" s="102"/>
      <c r="FH84" s="102"/>
      <c r="FI84" s="102"/>
      <c r="FJ84" s="102"/>
      <c r="FK84" s="102"/>
      <c r="FL84" s="102"/>
      <c r="FM84" s="102"/>
      <c r="FN84" s="102"/>
      <c r="FO84" s="102"/>
      <c r="FP84" s="102"/>
      <c r="FQ84" s="102"/>
      <c r="FR84" s="102"/>
      <c r="FS84" s="102"/>
      <c r="FT84" s="102"/>
      <c r="FU84" s="102"/>
      <c r="FV84" s="102"/>
      <c r="FW84" s="102"/>
      <c r="FX84" s="102"/>
      <c r="FY84" s="102"/>
      <c r="FZ84" s="102"/>
      <c r="GA84" s="102"/>
      <c r="GB84" s="102"/>
      <c r="GC84" s="102"/>
      <c r="GD84" s="102"/>
      <c r="GE84" s="102"/>
      <c r="GF84" s="102"/>
      <c r="GG84" s="102"/>
      <c r="GH84" s="102"/>
      <c r="GI84" s="102"/>
      <c r="GJ84" s="102"/>
      <c r="GK84" s="102"/>
      <c r="GL84" s="102"/>
      <c r="GM84" s="102"/>
      <c r="GN84" s="102"/>
      <c r="GO84" s="102"/>
      <c r="GP84" s="102"/>
      <c r="GQ84" s="102"/>
      <c r="GR84" s="102"/>
      <c r="GS84" s="102"/>
      <c r="GT84" s="102"/>
      <c r="GU84" s="102"/>
      <c r="GV84" s="102"/>
      <c r="GW84" s="102"/>
      <c r="GX84" s="102"/>
      <c r="GY84" s="102"/>
      <c r="GZ84" s="102"/>
      <c r="HA84" s="102"/>
      <c r="HB84" s="102"/>
      <c r="HC84" s="102"/>
      <c r="HD84" s="102"/>
      <c r="HE84" s="102"/>
      <c r="HF84" s="102"/>
      <c r="HG84" s="102"/>
      <c r="HH84" s="102"/>
      <c r="HI84" s="102"/>
      <c r="HJ84" s="102"/>
      <c r="HK84" s="102"/>
      <c r="HL84" s="102"/>
      <c r="HM84" s="102"/>
      <c r="HN84" s="102"/>
      <c r="HO84" s="102"/>
      <c r="HP84" s="102"/>
      <c r="HQ84" s="102"/>
      <c r="HR84" s="102"/>
      <c r="HS84" s="102"/>
      <c r="HT84" s="102"/>
      <c r="HU84" s="102"/>
      <c r="HV84" s="102"/>
      <c r="HW84" s="102"/>
      <c r="HX84" s="102"/>
      <c r="HY84" s="102"/>
      <c r="HZ84" s="102"/>
      <c r="IA84" s="102"/>
      <c r="IB84" s="102"/>
      <c r="IC84" s="102"/>
      <c r="ID84" s="102"/>
      <c r="IE84" s="102"/>
      <c r="IF84" s="102"/>
      <c r="IG84" s="102"/>
      <c r="IH84" s="102"/>
      <c r="II84" s="102"/>
      <c r="IJ84" s="102"/>
      <c r="IK84" s="102"/>
      <c r="IL84" s="102"/>
      <c r="IM84" s="102"/>
      <c r="IN84" s="102"/>
      <c r="IO84" s="102"/>
      <c r="IP84" s="102"/>
      <c r="IQ84" s="102"/>
      <c r="IR84" s="102"/>
      <c r="IS84" s="102"/>
      <c r="IT84" s="102"/>
      <c r="IU84" s="102"/>
      <c r="IV84" s="102"/>
      <c r="IW84" s="102"/>
      <c r="IX84" s="102"/>
      <c r="IY84" s="102"/>
      <c r="IZ84" s="102"/>
      <c r="JA84" s="102"/>
      <c r="JB84" s="102"/>
      <c r="JC84" s="102"/>
      <c r="JD84" s="102"/>
      <c r="JE84" s="102"/>
      <c r="JF84" s="102"/>
      <c r="JG84" s="102"/>
      <c r="JH84" s="102"/>
      <c r="JI84" s="102"/>
      <c r="JJ84" s="102"/>
      <c r="JK84" s="102"/>
      <c r="JL84" s="102"/>
      <c r="JM84" s="102"/>
      <c r="JN84" s="102"/>
      <c r="JO84" s="102"/>
      <c r="JP84" s="102"/>
      <c r="JQ84" s="102"/>
      <c r="JR84" s="102"/>
      <c r="JS84" s="102"/>
      <c r="JT84" s="102"/>
      <c r="JU84" s="102"/>
      <c r="JV84" s="102"/>
      <c r="JW84" s="102"/>
      <c r="JX84" s="102"/>
      <c r="JY84" s="102"/>
      <c r="JZ84" s="102"/>
      <c r="KA84" s="102"/>
      <c r="KB84" s="102"/>
      <c r="KC84" s="102"/>
      <c r="KD84" s="102"/>
      <c r="KE84" s="102"/>
      <c r="KF84" s="102"/>
      <c r="KG84" s="102"/>
      <c r="KH84" s="102"/>
      <c r="KI84" s="102"/>
      <c r="KJ84" s="102"/>
      <c r="KK84" s="102"/>
      <c r="KL84" s="102"/>
      <c r="KM84" s="102"/>
      <c r="KN84" s="102"/>
      <c r="KO84" s="102"/>
      <c r="KP84" s="102"/>
      <c r="KQ84" s="102"/>
      <c r="KR84" s="102"/>
      <c r="KS84" s="102"/>
      <c r="KT84" s="102"/>
      <c r="KU84" s="102"/>
      <c r="KV84" s="102"/>
      <c r="KW84" s="102"/>
      <c r="KX84" s="102"/>
      <c r="KY84" s="102"/>
      <c r="KZ84" s="102"/>
      <c r="LA84" s="102"/>
      <c r="LB84" s="102"/>
      <c r="LC84" s="102"/>
      <c r="LD84" s="102"/>
      <c r="LE84" s="102"/>
      <c r="LF84" s="102"/>
      <c r="LG84" s="102"/>
      <c r="LH84" s="102"/>
      <c r="LI84" s="102"/>
      <c r="LJ84" s="102"/>
      <c r="LK84" s="102"/>
      <c r="LL84" s="102"/>
      <c r="LM84" s="102"/>
      <c r="LN84" s="102"/>
      <c r="LO84" s="102"/>
      <c r="LP84" s="102"/>
      <c r="LQ84" s="102"/>
      <c r="LR84" s="102"/>
      <c r="LS84" s="102"/>
      <c r="LT84" s="102"/>
      <c r="LU84" s="102"/>
      <c r="LV84" s="102"/>
      <c r="LW84" s="102"/>
      <c r="LX84" s="102"/>
      <c r="LY84" s="102"/>
    </row>
    <row r="85" ht="15" customHeight="1">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c r="EO85" s="102"/>
      <c r="EP85" s="102"/>
      <c r="EQ85" s="102"/>
      <c r="ER85" s="102"/>
      <c r="ES85" s="102"/>
      <c r="ET85" s="102"/>
      <c r="EU85" s="102"/>
      <c r="EV85" s="102"/>
      <c r="EW85" s="102"/>
      <c r="EX85" s="102"/>
      <c r="EY85" s="102"/>
      <c r="EZ85" s="102"/>
      <c r="FA85" s="102"/>
      <c r="FB85" s="102"/>
      <c r="FC85" s="102"/>
      <c r="FD85" s="102"/>
      <c r="FE85" s="102"/>
      <c r="FF85" s="102"/>
      <c r="FG85" s="102"/>
      <c r="FH85" s="102"/>
      <c r="FI85" s="102"/>
      <c r="FJ85" s="102"/>
      <c r="FK85" s="102"/>
      <c r="FL85" s="102"/>
      <c r="FM85" s="102"/>
      <c r="FN85" s="102"/>
      <c r="FO85" s="102"/>
      <c r="FP85" s="102"/>
      <c r="FQ85" s="102"/>
      <c r="FR85" s="102"/>
      <c r="FS85" s="102"/>
      <c r="FT85" s="102"/>
      <c r="FU85" s="102"/>
      <c r="FV85" s="102"/>
      <c r="FW85" s="102"/>
      <c r="FX85" s="102"/>
      <c r="FY85" s="102"/>
      <c r="FZ85" s="102"/>
      <c r="GA85" s="102"/>
      <c r="GB85" s="102"/>
      <c r="GC85" s="102"/>
      <c r="GD85" s="102"/>
      <c r="GE85" s="102"/>
      <c r="GF85" s="102"/>
      <c r="GG85" s="102"/>
      <c r="GH85" s="102"/>
      <c r="GI85" s="102"/>
      <c r="GJ85" s="102"/>
      <c r="GK85" s="102"/>
      <c r="GL85" s="102"/>
      <c r="GM85" s="102"/>
      <c r="GN85" s="102"/>
      <c r="GO85" s="102"/>
      <c r="GP85" s="102"/>
      <c r="GQ85" s="102"/>
      <c r="GR85" s="102"/>
      <c r="GS85" s="102"/>
      <c r="GT85" s="102"/>
      <c r="GU85" s="102"/>
      <c r="GV85" s="102"/>
      <c r="GW85" s="102"/>
      <c r="GX85" s="102"/>
      <c r="GY85" s="102"/>
      <c r="GZ85" s="102"/>
      <c r="HA85" s="102"/>
      <c r="HB85" s="102"/>
      <c r="HC85" s="102"/>
      <c r="HD85" s="102"/>
      <c r="HE85" s="102"/>
      <c r="HF85" s="102"/>
      <c r="HG85" s="102"/>
      <c r="HH85" s="102"/>
      <c r="HI85" s="102"/>
      <c r="HJ85" s="102"/>
      <c r="HK85" s="102"/>
      <c r="HL85" s="102"/>
      <c r="HM85" s="102"/>
      <c r="HN85" s="102"/>
      <c r="HO85" s="102"/>
      <c r="HP85" s="102"/>
      <c r="HQ85" s="102"/>
      <c r="HR85" s="102"/>
      <c r="HS85" s="102"/>
      <c r="HT85" s="102"/>
      <c r="HU85" s="102"/>
      <c r="HV85" s="102"/>
      <c r="HW85" s="102"/>
      <c r="HX85" s="102"/>
      <c r="HY85" s="102"/>
      <c r="HZ85" s="102"/>
      <c r="IA85" s="102"/>
      <c r="IB85" s="102"/>
      <c r="IC85" s="102"/>
      <c r="ID85" s="102"/>
      <c r="IE85" s="102"/>
      <c r="IF85" s="102"/>
      <c r="IG85" s="102"/>
      <c r="IH85" s="102"/>
      <c r="II85" s="102"/>
      <c r="IJ85" s="102"/>
      <c r="IK85" s="102"/>
      <c r="IL85" s="102"/>
      <c r="IM85" s="102"/>
      <c r="IN85" s="102"/>
      <c r="IO85" s="102"/>
      <c r="IP85" s="102"/>
      <c r="IQ85" s="102"/>
      <c r="IR85" s="102"/>
      <c r="IS85" s="102"/>
      <c r="IT85" s="102"/>
      <c r="IU85" s="102"/>
      <c r="IV85" s="102"/>
      <c r="IW85" s="102"/>
      <c r="IX85" s="102"/>
      <c r="IY85" s="102"/>
      <c r="IZ85" s="102"/>
      <c r="JA85" s="102"/>
      <c r="JB85" s="102"/>
      <c r="JC85" s="102"/>
      <c r="JD85" s="102"/>
      <c r="JE85" s="102"/>
      <c r="JF85" s="102"/>
      <c r="JG85" s="102"/>
      <c r="JH85" s="102"/>
      <c r="JI85" s="102"/>
      <c r="JJ85" s="102"/>
      <c r="JK85" s="102"/>
      <c r="JL85" s="102"/>
      <c r="JM85" s="102"/>
      <c r="JN85" s="102"/>
      <c r="JO85" s="102"/>
      <c r="JP85" s="102"/>
      <c r="JQ85" s="102"/>
      <c r="JR85" s="102"/>
      <c r="JS85" s="102"/>
      <c r="JT85" s="102"/>
      <c r="JU85" s="102"/>
      <c r="JV85" s="102"/>
      <c r="JW85" s="102"/>
      <c r="JX85" s="102"/>
      <c r="JY85" s="102"/>
      <c r="JZ85" s="102"/>
      <c r="KA85" s="102"/>
      <c r="KB85" s="102"/>
      <c r="KC85" s="102"/>
      <c r="KD85" s="102"/>
      <c r="KE85" s="102"/>
      <c r="KF85" s="102"/>
      <c r="KG85" s="102"/>
      <c r="KH85" s="102"/>
      <c r="KI85" s="102"/>
      <c r="KJ85" s="102"/>
      <c r="KK85" s="102"/>
      <c r="KL85" s="102"/>
      <c r="KM85" s="102"/>
      <c r="KN85" s="102"/>
      <c r="KO85" s="102"/>
      <c r="KP85" s="102"/>
      <c r="KQ85" s="102"/>
      <c r="KR85" s="102"/>
      <c r="KS85" s="102"/>
      <c r="KT85" s="102"/>
      <c r="KU85" s="102"/>
      <c r="KV85" s="102"/>
      <c r="KW85" s="102"/>
      <c r="KX85" s="102"/>
      <c r="KY85" s="102"/>
      <c r="KZ85" s="102"/>
      <c r="LA85" s="102"/>
      <c r="LB85" s="102"/>
      <c r="LC85" s="102"/>
      <c r="LD85" s="102"/>
      <c r="LE85" s="102"/>
      <c r="LF85" s="102"/>
      <c r="LG85" s="102"/>
      <c r="LH85" s="102"/>
      <c r="LI85" s="102"/>
      <c r="LJ85" s="102"/>
      <c r="LK85" s="102"/>
      <c r="LL85" s="102"/>
      <c r="LM85" s="102"/>
      <c r="LN85" s="102"/>
      <c r="LO85" s="102"/>
      <c r="LP85" s="102"/>
      <c r="LQ85" s="102"/>
      <c r="LR85" s="102"/>
      <c r="LS85" s="102"/>
      <c r="LT85" s="102"/>
      <c r="LU85" s="102"/>
      <c r="LV85" s="102"/>
      <c r="LW85" s="102"/>
      <c r="LX85" s="102"/>
      <c r="LY85" s="102"/>
    </row>
    <row r="86" ht="15" customHeight="1">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c r="EO86" s="102"/>
      <c r="EP86" s="102"/>
      <c r="EQ86" s="102"/>
      <c r="ER86" s="102"/>
      <c r="ES86" s="102"/>
      <c r="ET86" s="102"/>
      <c r="EU86" s="102"/>
      <c r="EV86" s="102"/>
      <c r="EW86" s="102"/>
      <c r="EX86" s="102"/>
      <c r="EY86" s="102"/>
      <c r="EZ86" s="102"/>
      <c r="FA86" s="102"/>
      <c r="FB86" s="102"/>
      <c r="FC86" s="102"/>
      <c r="FD86" s="102"/>
      <c r="FE86" s="102"/>
      <c r="FF86" s="102"/>
      <c r="FG86" s="102"/>
      <c r="FH86" s="102"/>
      <c r="FI86" s="102"/>
      <c r="FJ86" s="102"/>
      <c r="FK86" s="102"/>
      <c r="FL86" s="102"/>
      <c r="FM86" s="102"/>
      <c r="FN86" s="102"/>
      <c r="FO86" s="102"/>
      <c r="FP86" s="102"/>
      <c r="FQ86" s="102"/>
      <c r="FR86" s="102"/>
      <c r="FS86" s="102"/>
      <c r="FT86" s="102"/>
      <c r="FU86" s="102"/>
      <c r="FV86" s="102"/>
      <c r="FW86" s="102"/>
      <c r="FX86" s="102"/>
      <c r="FY86" s="102"/>
      <c r="FZ86" s="102"/>
      <c r="GA86" s="102"/>
      <c r="GB86" s="102"/>
      <c r="GC86" s="102"/>
      <c r="GD86" s="102"/>
      <c r="GE86" s="102"/>
      <c r="GF86" s="102"/>
      <c r="GG86" s="102"/>
      <c r="GH86" s="102"/>
      <c r="GI86" s="102"/>
      <c r="GJ86" s="102"/>
      <c r="GK86" s="102"/>
      <c r="GL86" s="102"/>
      <c r="GM86" s="102"/>
      <c r="GN86" s="102"/>
      <c r="GO86" s="102"/>
      <c r="GP86" s="102"/>
      <c r="GQ86" s="102"/>
      <c r="GR86" s="102"/>
      <c r="GS86" s="102"/>
      <c r="GT86" s="102"/>
      <c r="GU86" s="102"/>
      <c r="GV86" s="102"/>
      <c r="GW86" s="102"/>
      <c r="GX86" s="102"/>
      <c r="GY86" s="102"/>
      <c r="GZ86" s="102"/>
      <c r="HA86" s="102"/>
      <c r="HB86" s="102"/>
      <c r="HC86" s="102"/>
      <c r="HD86" s="102"/>
      <c r="HE86" s="102"/>
      <c r="HF86" s="102"/>
      <c r="HG86" s="102"/>
      <c r="HH86" s="102"/>
      <c r="HI86" s="102"/>
      <c r="HJ86" s="102"/>
      <c r="HK86" s="102"/>
      <c r="HL86" s="102"/>
      <c r="HM86" s="102"/>
      <c r="HN86" s="102"/>
      <c r="HO86" s="102"/>
      <c r="HP86" s="102"/>
      <c r="HQ86" s="102"/>
      <c r="HR86" s="102"/>
      <c r="HS86" s="102"/>
      <c r="HT86" s="102"/>
      <c r="HU86" s="102"/>
      <c r="HV86" s="102"/>
      <c r="HW86" s="102"/>
      <c r="HX86" s="102"/>
      <c r="HY86" s="102"/>
      <c r="HZ86" s="102"/>
      <c r="IA86" s="102"/>
      <c r="IB86" s="102"/>
      <c r="IC86" s="102"/>
      <c r="ID86" s="102"/>
      <c r="IE86" s="102"/>
      <c r="IF86" s="102"/>
      <c r="IG86" s="102"/>
      <c r="IH86" s="102"/>
      <c r="II86" s="102"/>
      <c r="IJ86" s="102"/>
      <c r="IK86" s="102"/>
      <c r="IL86" s="102"/>
      <c r="IM86" s="102"/>
      <c r="IN86" s="102"/>
      <c r="IO86" s="102"/>
      <c r="IP86" s="102"/>
      <c r="IQ86" s="102"/>
      <c r="IR86" s="102"/>
      <c r="IS86" s="102"/>
      <c r="IT86" s="102"/>
      <c r="IU86" s="102"/>
      <c r="IV86" s="102"/>
      <c r="IW86" s="102"/>
      <c r="IX86" s="102"/>
      <c r="IY86" s="102"/>
      <c r="IZ86" s="102"/>
      <c r="JA86" s="102"/>
      <c r="JB86" s="102"/>
      <c r="JC86" s="102"/>
      <c r="JD86" s="102"/>
      <c r="JE86" s="102"/>
      <c r="JF86" s="102"/>
      <c r="JG86" s="102"/>
      <c r="JH86" s="102"/>
      <c r="JI86" s="102"/>
      <c r="JJ86" s="102"/>
      <c r="JK86" s="102"/>
      <c r="JL86" s="102"/>
      <c r="JM86" s="102"/>
      <c r="JN86" s="102"/>
      <c r="JO86" s="102"/>
      <c r="JP86" s="102"/>
      <c r="JQ86" s="102"/>
      <c r="JR86" s="102"/>
      <c r="JS86" s="102"/>
      <c r="JT86" s="102"/>
      <c r="JU86" s="102"/>
      <c r="JV86" s="102"/>
      <c r="JW86" s="102"/>
      <c r="JX86" s="102"/>
      <c r="JY86" s="102"/>
      <c r="JZ86" s="102"/>
      <c r="KA86" s="102"/>
      <c r="KB86" s="102"/>
      <c r="KC86" s="102"/>
      <c r="KD86" s="102"/>
      <c r="KE86" s="102"/>
      <c r="KF86" s="102"/>
      <c r="KG86" s="102"/>
      <c r="KH86" s="102"/>
      <c r="KI86" s="102"/>
      <c r="KJ86" s="102"/>
      <c r="KK86" s="102"/>
      <c r="KL86" s="102"/>
      <c r="KM86" s="102"/>
      <c r="KN86" s="102"/>
      <c r="KO86" s="102"/>
      <c r="KP86" s="102"/>
      <c r="KQ86" s="102"/>
      <c r="KR86" s="102"/>
      <c r="KS86" s="102"/>
      <c r="KT86" s="102"/>
      <c r="KU86" s="102"/>
      <c r="KV86" s="102"/>
      <c r="KW86" s="102"/>
      <c r="KX86" s="102"/>
      <c r="KY86" s="102"/>
      <c r="KZ86" s="102"/>
      <c r="LA86" s="102"/>
      <c r="LB86" s="102"/>
      <c r="LC86" s="102"/>
      <c r="LD86" s="102"/>
      <c r="LE86" s="102"/>
      <c r="LF86" s="102"/>
      <c r="LG86" s="102"/>
      <c r="LH86" s="102"/>
      <c r="LI86" s="102"/>
      <c r="LJ86" s="102"/>
      <c r="LK86" s="102"/>
      <c r="LL86" s="102"/>
      <c r="LM86" s="102"/>
      <c r="LN86" s="102"/>
      <c r="LO86" s="102"/>
      <c r="LP86" s="102"/>
      <c r="LQ86" s="102"/>
      <c r="LR86" s="102"/>
      <c r="LS86" s="102"/>
      <c r="LT86" s="102"/>
      <c r="LU86" s="102"/>
      <c r="LV86" s="102"/>
      <c r="LW86" s="102"/>
      <c r="LX86" s="102"/>
      <c r="LY86" s="102"/>
    </row>
    <row r="87" ht="15" customHeight="1">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c r="EO87" s="102"/>
      <c r="EP87" s="102"/>
      <c r="EQ87" s="102"/>
      <c r="ER87" s="102"/>
      <c r="ES87" s="102"/>
      <c r="ET87" s="102"/>
      <c r="EU87" s="102"/>
      <c r="EV87" s="102"/>
      <c r="EW87" s="102"/>
      <c r="EX87" s="102"/>
      <c r="EY87" s="102"/>
      <c r="EZ87" s="102"/>
      <c r="FA87" s="102"/>
      <c r="FB87" s="102"/>
      <c r="FC87" s="102"/>
      <c r="FD87" s="102"/>
      <c r="FE87" s="102"/>
      <c r="FF87" s="102"/>
      <c r="FG87" s="102"/>
      <c r="FH87" s="102"/>
      <c r="FI87" s="102"/>
      <c r="FJ87" s="102"/>
      <c r="FK87" s="102"/>
      <c r="FL87" s="102"/>
      <c r="FM87" s="102"/>
      <c r="FN87" s="102"/>
      <c r="FO87" s="102"/>
      <c r="FP87" s="102"/>
      <c r="FQ87" s="102"/>
      <c r="FR87" s="102"/>
      <c r="FS87" s="102"/>
      <c r="FT87" s="102"/>
      <c r="FU87" s="102"/>
      <c r="FV87" s="102"/>
      <c r="FW87" s="102"/>
      <c r="FX87" s="102"/>
      <c r="FY87" s="102"/>
      <c r="FZ87" s="102"/>
      <c r="GA87" s="102"/>
      <c r="GB87" s="102"/>
      <c r="GC87" s="102"/>
      <c r="GD87" s="102"/>
      <c r="GE87" s="102"/>
      <c r="GF87" s="102"/>
      <c r="GG87" s="102"/>
      <c r="GH87" s="102"/>
      <c r="GI87" s="102"/>
      <c r="GJ87" s="102"/>
      <c r="GK87" s="102"/>
      <c r="GL87" s="102"/>
      <c r="GM87" s="102"/>
      <c r="GN87" s="102"/>
      <c r="GO87" s="102"/>
      <c r="GP87" s="102"/>
      <c r="GQ87" s="102"/>
      <c r="GR87" s="102"/>
      <c r="GS87" s="102"/>
      <c r="GT87" s="102"/>
      <c r="GU87" s="102"/>
      <c r="GV87" s="102"/>
      <c r="GW87" s="102"/>
      <c r="GX87" s="102"/>
      <c r="GY87" s="102"/>
      <c r="GZ87" s="102"/>
      <c r="HA87" s="102"/>
      <c r="HB87" s="102"/>
      <c r="HC87" s="102"/>
      <c r="HD87" s="102"/>
      <c r="HE87" s="102"/>
      <c r="HF87" s="102"/>
      <c r="HG87" s="102"/>
      <c r="HH87" s="102"/>
      <c r="HI87" s="102"/>
      <c r="HJ87" s="102"/>
      <c r="HK87" s="102"/>
      <c r="HL87" s="102"/>
      <c r="HM87" s="102"/>
      <c r="HN87" s="102"/>
      <c r="HO87" s="102"/>
      <c r="HP87" s="102"/>
      <c r="HQ87" s="102"/>
      <c r="HR87" s="102"/>
      <c r="HS87" s="102"/>
      <c r="HT87" s="102"/>
      <c r="HU87" s="102"/>
      <c r="HV87" s="102"/>
      <c r="HW87" s="102"/>
      <c r="HX87" s="102"/>
      <c r="HY87" s="102"/>
      <c r="HZ87" s="102"/>
      <c r="IA87" s="102"/>
      <c r="IB87" s="102"/>
      <c r="IC87" s="102"/>
      <c r="ID87" s="102"/>
      <c r="IE87" s="102"/>
      <c r="IF87" s="102"/>
      <c r="IG87" s="102"/>
      <c r="IH87" s="102"/>
      <c r="II87" s="102"/>
      <c r="IJ87" s="102"/>
      <c r="IK87" s="102"/>
      <c r="IL87" s="102"/>
      <c r="IM87" s="102"/>
      <c r="IN87" s="102"/>
      <c r="IO87" s="102"/>
      <c r="IP87" s="102"/>
      <c r="IQ87" s="102"/>
      <c r="IR87" s="102"/>
      <c r="IS87" s="102"/>
      <c r="IT87" s="102"/>
      <c r="IU87" s="102"/>
      <c r="IV87" s="102"/>
      <c r="IW87" s="102"/>
      <c r="IX87" s="102"/>
      <c r="IY87" s="102"/>
      <c r="IZ87" s="102"/>
      <c r="JA87" s="102"/>
      <c r="JB87" s="102"/>
      <c r="JC87" s="102"/>
      <c r="JD87" s="102"/>
      <c r="JE87" s="102"/>
      <c r="JF87" s="102"/>
      <c r="JG87" s="102"/>
      <c r="JH87" s="102"/>
      <c r="JI87" s="102"/>
      <c r="JJ87" s="102"/>
      <c r="JK87" s="102"/>
      <c r="JL87" s="102"/>
      <c r="JM87" s="102"/>
      <c r="JN87" s="102"/>
      <c r="JO87" s="102"/>
      <c r="JP87" s="102"/>
      <c r="JQ87" s="102"/>
      <c r="JR87" s="102"/>
      <c r="JS87" s="102"/>
      <c r="JT87" s="102"/>
      <c r="JU87" s="102"/>
      <c r="JV87" s="102"/>
      <c r="JW87" s="102"/>
      <c r="JX87" s="102"/>
      <c r="JY87" s="102"/>
      <c r="JZ87" s="102"/>
      <c r="KA87" s="102"/>
      <c r="KB87" s="102"/>
      <c r="KC87" s="102"/>
      <c r="KD87" s="102"/>
      <c r="KE87" s="102"/>
      <c r="KF87" s="102"/>
      <c r="KG87" s="102"/>
      <c r="KH87" s="102"/>
      <c r="KI87" s="102"/>
      <c r="KJ87" s="102"/>
      <c r="KK87" s="102"/>
      <c r="KL87" s="102"/>
      <c r="KM87" s="102"/>
      <c r="KN87" s="102"/>
      <c r="KO87" s="102"/>
      <c r="KP87" s="102"/>
      <c r="KQ87" s="102"/>
      <c r="KR87" s="102"/>
      <c r="KS87" s="102"/>
      <c r="KT87" s="102"/>
      <c r="KU87" s="102"/>
      <c r="KV87" s="102"/>
      <c r="KW87" s="102"/>
      <c r="KX87" s="102"/>
      <c r="KY87" s="102"/>
      <c r="KZ87" s="102"/>
      <c r="LA87" s="102"/>
      <c r="LB87" s="102"/>
      <c r="LC87" s="102"/>
      <c r="LD87" s="102"/>
      <c r="LE87" s="102"/>
      <c r="LF87" s="102"/>
      <c r="LG87" s="102"/>
      <c r="LH87" s="102"/>
      <c r="LI87" s="102"/>
      <c r="LJ87" s="102"/>
      <c r="LK87" s="102"/>
      <c r="LL87" s="102"/>
      <c r="LM87" s="102"/>
      <c r="LN87" s="102"/>
      <c r="LO87" s="102"/>
      <c r="LP87" s="102"/>
      <c r="LQ87" s="102"/>
      <c r="LR87" s="102"/>
      <c r="LS87" s="102"/>
      <c r="LT87" s="102"/>
      <c r="LU87" s="102"/>
      <c r="LV87" s="102"/>
      <c r="LW87" s="102"/>
      <c r="LX87" s="102"/>
      <c r="LY87" s="102"/>
    </row>
    <row r="88" ht="15" customHeight="1">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c r="EO88" s="102"/>
      <c r="EP88" s="102"/>
      <c r="EQ88" s="102"/>
      <c r="ER88" s="102"/>
      <c r="ES88" s="102"/>
      <c r="ET88" s="102"/>
      <c r="EU88" s="102"/>
      <c r="EV88" s="102"/>
      <c r="EW88" s="102"/>
      <c r="EX88" s="102"/>
      <c r="EY88" s="102"/>
      <c r="EZ88" s="102"/>
      <c r="FA88" s="102"/>
      <c r="FB88" s="102"/>
      <c r="FC88" s="102"/>
      <c r="FD88" s="102"/>
      <c r="FE88" s="102"/>
      <c r="FF88" s="102"/>
      <c r="FG88" s="102"/>
      <c r="FH88" s="102"/>
      <c r="FI88" s="102"/>
      <c r="FJ88" s="102"/>
      <c r="FK88" s="102"/>
      <c r="FL88" s="102"/>
      <c r="FM88" s="102"/>
      <c r="FN88" s="102"/>
      <c r="FO88" s="102"/>
      <c r="FP88" s="102"/>
      <c r="FQ88" s="102"/>
      <c r="FR88" s="102"/>
      <c r="FS88" s="102"/>
      <c r="FT88" s="102"/>
      <c r="FU88" s="102"/>
      <c r="FV88" s="102"/>
      <c r="FW88" s="102"/>
      <c r="FX88" s="102"/>
      <c r="FY88" s="102"/>
      <c r="FZ88" s="102"/>
      <c r="GA88" s="102"/>
      <c r="GB88" s="102"/>
      <c r="GC88" s="102"/>
      <c r="GD88" s="102"/>
      <c r="GE88" s="102"/>
      <c r="GF88" s="102"/>
      <c r="GG88" s="102"/>
      <c r="GH88" s="102"/>
      <c r="GI88" s="102"/>
      <c r="GJ88" s="102"/>
      <c r="GK88" s="102"/>
      <c r="GL88" s="102"/>
      <c r="GM88" s="102"/>
      <c r="GN88" s="102"/>
      <c r="GO88" s="102"/>
      <c r="GP88" s="102"/>
      <c r="GQ88" s="102"/>
      <c r="GR88" s="102"/>
      <c r="GS88" s="102"/>
      <c r="GT88" s="102"/>
      <c r="GU88" s="102"/>
      <c r="GV88" s="102"/>
      <c r="GW88" s="102"/>
      <c r="GX88" s="102"/>
      <c r="GY88" s="102"/>
      <c r="GZ88" s="102"/>
      <c r="HA88" s="102"/>
      <c r="HB88" s="102"/>
      <c r="HC88" s="102"/>
      <c r="HD88" s="102"/>
      <c r="HE88" s="102"/>
      <c r="HF88" s="102"/>
      <c r="HG88" s="102"/>
      <c r="HH88" s="102"/>
      <c r="HI88" s="102"/>
      <c r="HJ88" s="102"/>
      <c r="HK88" s="102"/>
      <c r="HL88" s="102"/>
      <c r="HM88" s="102"/>
      <c r="HN88" s="102"/>
      <c r="HO88" s="102"/>
      <c r="HP88" s="102"/>
      <c r="HQ88" s="102"/>
      <c r="HR88" s="102"/>
      <c r="HS88" s="102"/>
      <c r="HT88" s="102"/>
      <c r="HU88" s="102"/>
      <c r="HV88" s="102"/>
      <c r="HW88" s="102"/>
      <c r="HX88" s="102"/>
      <c r="HY88" s="102"/>
      <c r="HZ88" s="102"/>
      <c r="IA88" s="102"/>
      <c r="IB88" s="102"/>
      <c r="IC88" s="102"/>
      <c r="ID88" s="102"/>
      <c r="IE88" s="102"/>
      <c r="IF88" s="102"/>
      <c r="IG88" s="102"/>
      <c r="IH88" s="102"/>
      <c r="II88" s="102"/>
      <c r="IJ88" s="102"/>
      <c r="IK88" s="102"/>
      <c r="IL88" s="102"/>
      <c r="IM88" s="102"/>
      <c r="IN88" s="102"/>
      <c r="IO88" s="102"/>
      <c r="IP88" s="102"/>
      <c r="IQ88" s="102"/>
      <c r="IR88" s="102"/>
      <c r="IS88" s="102"/>
      <c r="IT88" s="102"/>
      <c r="IU88" s="102"/>
      <c r="IV88" s="102"/>
      <c r="IW88" s="102"/>
      <c r="IX88" s="102"/>
      <c r="IY88" s="102"/>
      <c r="IZ88" s="102"/>
      <c r="JA88" s="102"/>
      <c r="JB88" s="102"/>
      <c r="JC88" s="102"/>
      <c r="JD88" s="102"/>
      <c r="JE88" s="102"/>
      <c r="JF88" s="102"/>
      <c r="JG88" s="102"/>
      <c r="JH88" s="102"/>
      <c r="JI88" s="102"/>
      <c r="JJ88" s="102"/>
      <c r="JK88" s="102"/>
      <c r="JL88" s="102"/>
      <c r="JM88" s="102"/>
      <c r="JN88" s="102"/>
      <c r="JO88" s="102"/>
      <c r="JP88" s="102"/>
      <c r="JQ88" s="102"/>
      <c r="JR88" s="102"/>
      <c r="JS88" s="102"/>
      <c r="JT88" s="102"/>
      <c r="JU88" s="102"/>
      <c r="JV88" s="102"/>
      <c r="JW88" s="102"/>
      <c r="JX88" s="102"/>
      <c r="JY88" s="102"/>
      <c r="JZ88" s="102"/>
      <c r="KA88" s="102"/>
      <c r="KB88" s="102"/>
      <c r="KC88" s="102"/>
      <c r="KD88" s="102"/>
      <c r="KE88" s="102"/>
      <c r="KF88" s="102"/>
      <c r="KG88" s="102"/>
      <c r="KH88" s="102"/>
      <c r="KI88" s="102"/>
      <c r="KJ88" s="102"/>
      <c r="KK88" s="102"/>
      <c r="KL88" s="102"/>
      <c r="KM88" s="102"/>
      <c r="KN88" s="102"/>
      <c r="KO88" s="102"/>
      <c r="KP88" s="102"/>
      <c r="KQ88" s="102"/>
      <c r="KR88" s="102"/>
      <c r="KS88" s="102"/>
      <c r="KT88" s="102"/>
      <c r="KU88" s="102"/>
      <c r="KV88" s="102"/>
      <c r="KW88" s="102"/>
      <c r="KX88" s="102"/>
      <c r="KY88" s="102"/>
      <c r="KZ88" s="102"/>
      <c r="LA88" s="102"/>
      <c r="LB88" s="102"/>
      <c r="LC88" s="102"/>
      <c r="LD88" s="102"/>
      <c r="LE88" s="102"/>
      <c r="LF88" s="102"/>
      <c r="LG88" s="102"/>
      <c r="LH88" s="102"/>
      <c r="LI88" s="102"/>
      <c r="LJ88" s="102"/>
      <c r="LK88" s="102"/>
      <c r="LL88" s="102"/>
      <c r="LM88" s="102"/>
      <c r="LN88" s="102"/>
      <c r="LO88" s="102"/>
      <c r="LP88" s="102"/>
      <c r="LQ88" s="102"/>
      <c r="LR88" s="102"/>
      <c r="LS88" s="102"/>
      <c r="LT88" s="102"/>
      <c r="LU88" s="102"/>
      <c r="LV88" s="102"/>
      <c r="LW88" s="102"/>
      <c r="LX88" s="102"/>
      <c r="LY88" s="102"/>
    </row>
    <row r="89" ht="15" customHeight="1">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c r="EO89" s="102"/>
      <c r="EP89" s="102"/>
      <c r="EQ89" s="102"/>
      <c r="ER89" s="102"/>
      <c r="ES89" s="102"/>
      <c r="ET89" s="102"/>
      <c r="EU89" s="102"/>
      <c r="EV89" s="102"/>
      <c r="EW89" s="102"/>
      <c r="EX89" s="102"/>
      <c r="EY89" s="102"/>
      <c r="EZ89" s="102"/>
      <c r="FA89" s="102"/>
      <c r="FB89" s="102"/>
      <c r="FC89" s="102"/>
      <c r="FD89" s="102"/>
      <c r="FE89" s="102"/>
      <c r="FF89" s="102"/>
      <c r="FG89" s="102"/>
      <c r="FH89" s="102"/>
      <c r="FI89" s="102"/>
      <c r="FJ89" s="102"/>
      <c r="FK89" s="102"/>
      <c r="FL89" s="102"/>
      <c r="FM89" s="102"/>
      <c r="FN89" s="102"/>
      <c r="FO89" s="102"/>
      <c r="FP89" s="102"/>
      <c r="FQ89" s="102"/>
      <c r="FR89" s="102"/>
      <c r="FS89" s="102"/>
      <c r="FT89" s="102"/>
      <c r="FU89" s="102"/>
      <c r="FV89" s="102"/>
      <c r="FW89" s="102"/>
      <c r="FX89" s="102"/>
      <c r="FY89" s="102"/>
      <c r="FZ89" s="102"/>
      <c r="GA89" s="102"/>
      <c r="GB89" s="102"/>
      <c r="GC89" s="102"/>
      <c r="GD89" s="102"/>
      <c r="GE89" s="102"/>
      <c r="GF89" s="102"/>
      <c r="GG89" s="102"/>
      <c r="GH89" s="102"/>
      <c r="GI89" s="102"/>
      <c r="GJ89" s="102"/>
      <c r="GK89" s="102"/>
      <c r="GL89" s="102"/>
      <c r="GM89" s="102"/>
      <c r="GN89" s="102"/>
      <c r="GO89" s="102"/>
      <c r="GP89" s="102"/>
      <c r="GQ89" s="102"/>
      <c r="GR89" s="102"/>
      <c r="GS89" s="102"/>
      <c r="GT89" s="102"/>
      <c r="GU89" s="102"/>
      <c r="GV89" s="102"/>
      <c r="GW89" s="102"/>
      <c r="GX89" s="102"/>
      <c r="GY89" s="102"/>
      <c r="GZ89" s="102"/>
      <c r="HA89" s="102"/>
      <c r="HB89" s="102"/>
      <c r="HC89" s="102"/>
      <c r="HD89" s="102"/>
      <c r="HE89" s="102"/>
      <c r="HF89" s="102"/>
      <c r="HG89" s="102"/>
      <c r="HH89" s="102"/>
      <c r="HI89" s="102"/>
      <c r="HJ89" s="102"/>
      <c r="HK89" s="102"/>
      <c r="HL89" s="102"/>
      <c r="HM89" s="102"/>
      <c r="HN89" s="102"/>
      <c r="HO89" s="102"/>
      <c r="HP89" s="102"/>
      <c r="HQ89" s="102"/>
      <c r="HR89" s="102"/>
      <c r="HS89" s="102"/>
      <c r="HT89" s="102"/>
      <c r="HU89" s="102"/>
      <c r="HV89" s="102"/>
      <c r="HW89" s="102"/>
      <c r="HX89" s="102"/>
      <c r="HY89" s="102"/>
      <c r="HZ89" s="102"/>
      <c r="IA89" s="102"/>
      <c r="IB89" s="102"/>
      <c r="IC89" s="102"/>
      <c r="ID89" s="102"/>
      <c r="IE89" s="102"/>
      <c r="IF89" s="102"/>
      <c r="IG89" s="102"/>
      <c r="IH89" s="102"/>
      <c r="II89" s="102"/>
      <c r="IJ89" s="102"/>
      <c r="IK89" s="102"/>
      <c r="IL89" s="102"/>
      <c r="IM89" s="102"/>
      <c r="IN89" s="102"/>
      <c r="IO89" s="102"/>
      <c r="IP89" s="102"/>
      <c r="IQ89" s="102"/>
      <c r="IR89" s="102"/>
      <c r="IS89" s="102"/>
      <c r="IT89" s="102"/>
      <c r="IU89" s="102"/>
      <c r="IV89" s="102"/>
      <c r="IW89" s="102"/>
      <c r="IX89" s="102"/>
      <c r="IY89" s="102"/>
      <c r="IZ89" s="102"/>
      <c r="JA89" s="102"/>
      <c r="JB89" s="102"/>
      <c r="JC89" s="102"/>
      <c r="JD89" s="102"/>
      <c r="JE89" s="102"/>
      <c r="JF89" s="102"/>
      <c r="JG89" s="102"/>
      <c r="JH89" s="102"/>
      <c r="JI89" s="102"/>
      <c r="JJ89" s="102"/>
      <c r="JK89" s="102"/>
      <c r="JL89" s="102"/>
      <c r="JM89" s="102"/>
      <c r="JN89" s="102"/>
      <c r="JO89" s="102"/>
      <c r="JP89" s="102"/>
      <c r="JQ89" s="102"/>
      <c r="JR89" s="102"/>
      <c r="JS89" s="102"/>
      <c r="JT89" s="102"/>
      <c r="JU89" s="102"/>
      <c r="JV89" s="102"/>
      <c r="JW89" s="102"/>
      <c r="JX89" s="102"/>
      <c r="JY89" s="102"/>
      <c r="JZ89" s="102"/>
      <c r="KA89" s="102"/>
      <c r="KB89" s="102"/>
      <c r="KC89" s="102"/>
      <c r="KD89" s="102"/>
      <c r="KE89" s="102"/>
      <c r="KF89" s="102"/>
      <c r="KG89" s="102"/>
      <c r="KH89" s="102"/>
      <c r="KI89" s="102"/>
      <c r="KJ89" s="102"/>
      <c r="KK89" s="102"/>
      <c r="KL89" s="102"/>
      <c r="KM89" s="102"/>
      <c r="KN89" s="102"/>
      <c r="KO89" s="102"/>
      <c r="KP89" s="102"/>
      <c r="KQ89" s="102"/>
      <c r="KR89" s="102"/>
      <c r="KS89" s="102"/>
      <c r="KT89" s="102"/>
      <c r="KU89" s="102"/>
      <c r="KV89" s="102"/>
      <c r="KW89" s="102"/>
      <c r="KX89" s="102"/>
      <c r="KY89" s="102"/>
      <c r="KZ89" s="102"/>
      <c r="LA89" s="102"/>
      <c r="LB89" s="102"/>
      <c r="LC89" s="102"/>
      <c r="LD89" s="102"/>
      <c r="LE89" s="102"/>
      <c r="LF89" s="102"/>
      <c r="LG89" s="102"/>
      <c r="LH89" s="102"/>
      <c r="LI89" s="102"/>
      <c r="LJ89" s="102"/>
      <c r="LK89" s="102"/>
      <c r="LL89" s="102"/>
      <c r="LM89" s="102"/>
      <c r="LN89" s="102"/>
      <c r="LO89" s="102"/>
      <c r="LP89" s="102"/>
      <c r="LQ89" s="102"/>
      <c r="LR89" s="102"/>
      <c r="LS89" s="102"/>
      <c r="LT89" s="102"/>
      <c r="LU89" s="102"/>
      <c r="LV89" s="102"/>
      <c r="LW89" s="102"/>
      <c r="LX89" s="102"/>
      <c r="LY89" s="102"/>
    </row>
    <row r="90" ht="15" customHeight="1">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c r="EO90" s="102"/>
      <c r="EP90" s="102"/>
      <c r="EQ90" s="102"/>
      <c r="ER90" s="102"/>
      <c r="ES90" s="102"/>
      <c r="ET90" s="102"/>
      <c r="EU90" s="102"/>
      <c r="EV90" s="102"/>
      <c r="EW90" s="102"/>
      <c r="EX90" s="102"/>
      <c r="EY90" s="102"/>
      <c r="EZ90" s="102"/>
      <c r="FA90" s="102"/>
      <c r="FB90" s="102"/>
      <c r="FC90" s="102"/>
      <c r="FD90" s="102"/>
      <c r="FE90" s="102"/>
      <c r="FF90" s="102"/>
      <c r="FG90" s="102"/>
      <c r="FH90" s="102"/>
      <c r="FI90" s="102"/>
      <c r="FJ90" s="102"/>
      <c r="FK90" s="102"/>
      <c r="FL90" s="102"/>
      <c r="FM90" s="102"/>
      <c r="FN90" s="102"/>
      <c r="FO90" s="102"/>
      <c r="FP90" s="102"/>
      <c r="FQ90" s="102"/>
      <c r="FR90" s="102"/>
      <c r="FS90" s="102"/>
      <c r="FT90" s="102"/>
      <c r="FU90" s="102"/>
      <c r="FV90" s="102"/>
      <c r="FW90" s="102"/>
      <c r="FX90" s="102"/>
      <c r="FY90" s="102"/>
      <c r="FZ90" s="102"/>
      <c r="GA90" s="102"/>
      <c r="GB90" s="102"/>
      <c r="GC90" s="102"/>
      <c r="GD90" s="102"/>
      <c r="GE90" s="102"/>
      <c r="GF90" s="102"/>
      <c r="GG90" s="102"/>
      <c r="GH90" s="102"/>
      <c r="GI90" s="102"/>
      <c r="GJ90" s="102"/>
      <c r="GK90" s="102"/>
      <c r="GL90" s="102"/>
      <c r="GM90" s="102"/>
      <c r="GN90" s="102"/>
      <c r="GO90" s="102"/>
      <c r="GP90" s="102"/>
      <c r="GQ90" s="102"/>
      <c r="GR90" s="102"/>
      <c r="GS90" s="102"/>
      <c r="GT90" s="102"/>
      <c r="GU90" s="102"/>
      <c r="GV90" s="102"/>
      <c r="GW90" s="102"/>
      <c r="GX90" s="102"/>
      <c r="GY90" s="102"/>
      <c r="GZ90" s="102"/>
      <c r="HA90" s="102"/>
      <c r="HB90" s="102"/>
      <c r="HC90" s="102"/>
      <c r="HD90" s="102"/>
      <c r="HE90" s="102"/>
      <c r="HF90" s="102"/>
      <c r="HG90" s="102"/>
      <c r="HH90" s="102"/>
      <c r="HI90" s="102"/>
      <c r="HJ90" s="102"/>
      <c r="HK90" s="102"/>
      <c r="HL90" s="102"/>
      <c r="HM90" s="102"/>
      <c r="HN90" s="102"/>
      <c r="HO90" s="102"/>
      <c r="HP90" s="102"/>
      <c r="HQ90" s="102"/>
      <c r="HR90" s="102"/>
      <c r="HS90" s="102"/>
      <c r="HT90" s="102"/>
      <c r="HU90" s="102"/>
      <c r="HV90" s="102"/>
      <c r="HW90" s="102"/>
      <c r="HX90" s="102"/>
      <c r="HY90" s="102"/>
      <c r="HZ90" s="102"/>
      <c r="IA90" s="102"/>
      <c r="IB90" s="102"/>
      <c r="IC90" s="102"/>
      <c r="ID90" s="102"/>
      <c r="IE90" s="102"/>
      <c r="IF90" s="102"/>
      <c r="IG90" s="102"/>
      <c r="IH90" s="102"/>
      <c r="II90" s="102"/>
      <c r="IJ90" s="102"/>
      <c r="IK90" s="102"/>
      <c r="IL90" s="102"/>
      <c r="IM90" s="102"/>
      <c r="IN90" s="102"/>
      <c r="IO90" s="102"/>
      <c r="IP90" s="102"/>
      <c r="IQ90" s="102"/>
      <c r="IR90" s="102"/>
      <c r="IS90" s="102"/>
      <c r="IT90" s="102"/>
      <c r="IU90" s="102"/>
      <c r="IV90" s="102"/>
      <c r="IW90" s="102"/>
      <c r="IX90" s="102"/>
      <c r="IY90" s="102"/>
      <c r="IZ90" s="102"/>
      <c r="JA90" s="102"/>
      <c r="JB90" s="102"/>
      <c r="JC90" s="102"/>
      <c r="JD90" s="102"/>
      <c r="JE90" s="102"/>
      <c r="JF90" s="102"/>
      <c r="JG90" s="102"/>
      <c r="JH90" s="102"/>
      <c r="JI90" s="102"/>
      <c r="JJ90" s="102"/>
      <c r="JK90" s="102"/>
      <c r="JL90" s="102"/>
      <c r="JM90" s="102"/>
      <c r="JN90" s="102"/>
      <c r="JO90" s="102"/>
      <c r="JP90" s="102"/>
      <c r="JQ90" s="102"/>
      <c r="JR90" s="102"/>
      <c r="JS90" s="102"/>
      <c r="JT90" s="102"/>
      <c r="JU90" s="102"/>
      <c r="JV90" s="102"/>
      <c r="JW90" s="102"/>
      <c r="JX90" s="102"/>
      <c r="JY90" s="102"/>
      <c r="JZ90" s="102"/>
      <c r="KA90" s="102"/>
      <c r="KB90" s="102"/>
      <c r="KC90" s="102"/>
      <c r="KD90" s="102"/>
      <c r="KE90" s="102"/>
      <c r="KF90" s="102"/>
      <c r="KG90" s="102"/>
      <c r="KH90" s="102"/>
      <c r="KI90" s="102"/>
      <c r="KJ90" s="102"/>
      <c r="KK90" s="102"/>
      <c r="KL90" s="102"/>
      <c r="KM90" s="102"/>
      <c r="KN90" s="102"/>
      <c r="KO90" s="102"/>
      <c r="KP90" s="102"/>
      <c r="KQ90" s="102"/>
      <c r="KR90" s="102"/>
      <c r="KS90" s="102"/>
      <c r="KT90" s="102"/>
      <c r="KU90" s="102"/>
      <c r="KV90" s="102"/>
      <c r="KW90" s="102"/>
      <c r="KX90" s="102"/>
      <c r="KY90" s="102"/>
      <c r="KZ90" s="102"/>
      <c r="LA90" s="102"/>
      <c r="LB90" s="102"/>
      <c r="LC90" s="102"/>
      <c r="LD90" s="102"/>
      <c r="LE90" s="102"/>
      <c r="LF90" s="102"/>
      <c r="LG90" s="102"/>
      <c r="LH90" s="102"/>
      <c r="LI90" s="102"/>
      <c r="LJ90" s="102"/>
      <c r="LK90" s="102"/>
      <c r="LL90" s="102"/>
      <c r="LM90" s="102"/>
      <c r="LN90" s="102"/>
      <c r="LO90" s="102"/>
      <c r="LP90" s="102"/>
      <c r="LQ90" s="102"/>
      <c r="LR90" s="102"/>
      <c r="LS90" s="102"/>
      <c r="LT90" s="102"/>
      <c r="LU90" s="102"/>
      <c r="LV90" s="102"/>
      <c r="LW90" s="102"/>
      <c r="LX90" s="102"/>
      <c r="LY90" s="102"/>
    </row>
    <row r="91" ht="15" customHeight="1">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c r="EO91" s="102"/>
      <c r="EP91" s="102"/>
      <c r="EQ91" s="102"/>
      <c r="ER91" s="102"/>
      <c r="ES91" s="102"/>
      <c r="ET91" s="102"/>
      <c r="EU91" s="102"/>
      <c r="EV91" s="102"/>
      <c r="EW91" s="102"/>
      <c r="EX91" s="102"/>
      <c r="EY91" s="102"/>
      <c r="EZ91" s="102"/>
      <c r="FA91" s="102"/>
      <c r="FB91" s="102"/>
      <c r="FC91" s="102"/>
      <c r="FD91" s="102"/>
      <c r="FE91" s="102"/>
      <c r="FF91" s="102"/>
      <c r="FG91" s="102"/>
      <c r="FH91" s="102"/>
      <c r="FI91" s="102"/>
      <c r="FJ91" s="102"/>
      <c r="FK91" s="102"/>
      <c r="FL91" s="102"/>
      <c r="FM91" s="102"/>
      <c r="FN91" s="102"/>
      <c r="FO91" s="102"/>
      <c r="FP91" s="102"/>
      <c r="FQ91" s="102"/>
      <c r="FR91" s="102"/>
      <c r="FS91" s="102"/>
      <c r="FT91" s="102"/>
      <c r="FU91" s="102"/>
      <c r="FV91" s="102"/>
      <c r="FW91" s="102"/>
      <c r="FX91" s="102"/>
      <c r="FY91" s="102"/>
      <c r="FZ91" s="102"/>
      <c r="GA91" s="102"/>
      <c r="GB91" s="102"/>
      <c r="GC91" s="102"/>
      <c r="GD91" s="102"/>
      <c r="GE91" s="102"/>
      <c r="GF91" s="102"/>
      <c r="GG91" s="102"/>
      <c r="GH91" s="102"/>
      <c r="GI91" s="102"/>
      <c r="GJ91" s="102"/>
      <c r="GK91" s="102"/>
      <c r="GL91" s="102"/>
      <c r="GM91" s="102"/>
      <c r="GN91" s="102"/>
      <c r="GO91" s="102"/>
      <c r="GP91" s="102"/>
      <c r="GQ91" s="102"/>
      <c r="GR91" s="102"/>
      <c r="GS91" s="102"/>
      <c r="GT91" s="102"/>
      <c r="GU91" s="102"/>
      <c r="GV91" s="102"/>
      <c r="GW91" s="102"/>
      <c r="GX91" s="102"/>
      <c r="GY91" s="102"/>
      <c r="GZ91" s="102"/>
      <c r="HA91" s="102"/>
      <c r="HB91" s="102"/>
      <c r="HC91" s="102"/>
      <c r="HD91" s="102"/>
      <c r="HE91" s="102"/>
      <c r="HF91" s="102"/>
      <c r="HG91" s="102"/>
      <c r="HH91" s="102"/>
      <c r="HI91" s="102"/>
      <c r="HJ91" s="102"/>
      <c r="HK91" s="102"/>
      <c r="HL91" s="102"/>
      <c r="HM91" s="102"/>
      <c r="HN91" s="102"/>
      <c r="HO91" s="102"/>
      <c r="HP91" s="102"/>
      <c r="HQ91" s="102"/>
      <c r="HR91" s="102"/>
      <c r="HS91" s="102"/>
      <c r="HT91" s="102"/>
      <c r="HU91" s="102"/>
      <c r="HV91" s="102"/>
      <c r="HW91" s="102"/>
      <c r="HX91" s="102"/>
      <c r="HY91" s="102"/>
      <c r="HZ91" s="102"/>
      <c r="IA91" s="102"/>
      <c r="IB91" s="102"/>
      <c r="IC91" s="102"/>
      <c r="ID91" s="102"/>
      <c r="IE91" s="102"/>
      <c r="IF91" s="102"/>
      <c r="IG91" s="102"/>
      <c r="IH91" s="102"/>
      <c r="II91" s="102"/>
      <c r="IJ91" s="102"/>
      <c r="IK91" s="102"/>
      <c r="IL91" s="102"/>
      <c r="IM91" s="102"/>
      <c r="IN91" s="102"/>
      <c r="IO91" s="102"/>
      <c r="IP91" s="102"/>
      <c r="IQ91" s="102"/>
      <c r="IR91" s="102"/>
      <c r="IS91" s="102"/>
      <c r="IT91" s="102"/>
      <c r="IU91" s="102"/>
      <c r="IV91" s="102"/>
      <c r="IW91" s="102"/>
      <c r="IX91" s="102"/>
      <c r="IY91" s="102"/>
      <c r="IZ91" s="102"/>
      <c r="JA91" s="102"/>
      <c r="JB91" s="102"/>
      <c r="JC91" s="102"/>
      <c r="JD91" s="102"/>
      <c r="JE91" s="102"/>
      <c r="JF91" s="102"/>
      <c r="JG91" s="102"/>
      <c r="JH91" s="102"/>
      <c r="JI91" s="102"/>
      <c r="JJ91" s="102"/>
      <c r="JK91" s="102"/>
      <c r="JL91" s="102"/>
      <c r="JM91" s="102"/>
      <c r="JN91" s="102"/>
      <c r="JO91" s="102"/>
      <c r="JP91" s="102"/>
      <c r="JQ91" s="102"/>
      <c r="JR91" s="102"/>
      <c r="JS91" s="102"/>
      <c r="JT91" s="102"/>
      <c r="JU91" s="102"/>
      <c r="JV91" s="102"/>
      <c r="JW91" s="102"/>
      <c r="JX91" s="102"/>
      <c r="JY91" s="102"/>
      <c r="JZ91" s="102"/>
      <c r="KA91" s="102"/>
      <c r="KB91" s="102"/>
      <c r="KC91" s="102"/>
      <c r="KD91" s="102"/>
      <c r="KE91" s="102"/>
      <c r="KF91" s="102"/>
      <c r="KG91" s="102"/>
      <c r="KH91" s="102"/>
      <c r="KI91" s="102"/>
      <c r="KJ91" s="102"/>
      <c r="KK91" s="102"/>
      <c r="KL91" s="102"/>
      <c r="KM91" s="102"/>
      <c r="KN91" s="102"/>
      <c r="KO91" s="102"/>
      <c r="KP91" s="102"/>
      <c r="KQ91" s="102"/>
      <c r="KR91" s="102"/>
      <c r="KS91" s="102"/>
      <c r="KT91" s="102"/>
      <c r="KU91" s="102"/>
      <c r="KV91" s="102"/>
      <c r="KW91" s="102"/>
      <c r="KX91" s="102"/>
      <c r="KY91" s="102"/>
      <c r="KZ91" s="102"/>
      <c r="LA91" s="102"/>
      <c r="LB91" s="102"/>
      <c r="LC91" s="102"/>
      <c r="LD91" s="102"/>
      <c r="LE91" s="102"/>
      <c r="LF91" s="102"/>
      <c r="LG91" s="102"/>
      <c r="LH91" s="102"/>
      <c r="LI91" s="102"/>
      <c r="LJ91" s="102"/>
      <c r="LK91" s="102"/>
      <c r="LL91" s="102"/>
      <c r="LM91" s="102"/>
      <c r="LN91" s="102"/>
      <c r="LO91" s="102"/>
      <c r="LP91" s="102"/>
      <c r="LQ91" s="102"/>
      <c r="LR91" s="102"/>
      <c r="LS91" s="102"/>
      <c r="LT91" s="102"/>
      <c r="LU91" s="102"/>
      <c r="LV91" s="102"/>
      <c r="LW91" s="102"/>
      <c r="LX91" s="102"/>
      <c r="LY91" s="102"/>
    </row>
    <row r="92" ht="15" customHeight="1">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c r="EO92" s="102"/>
      <c r="EP92" s="102"/>
      <c r="EQ92" s="102"/>
      <c r="ER92" s="102"/>
      <c r="ES92" s="102"/>
      <c r="ET92" s="102"/>
      <c r="EU92" s="102"/>
      <c r="EV92" s="102"/>
      <c r="EW92" s="102"/>
      <c r="EX92" s="102"/>
      <c r="EY92" s="102"/>
      <c r="EZ92" s="102"/>
      <c r="FA92" s="102"/>
      <c r="FB92" s="102"/>
      <c r="FC92" s="102"/>
      <c r="FD92" s="102"/>
      <c r="FE92" s="102"/>
      <c r="FF92" s="102"/>
      <c r="FG92" s="102"/>
      <c r="FH92" s="102"/>
      <c r="FI92" s="102"/>
      <c r="FJ92" s="102"/>
      <c r="FK92" s="102"/>
      <c r="FL92" s="102"/>
      <c r="FM92" s="102"/>
      <c r="FN92" s="102"/>
      <c r="FO92" s="102"/>
      <c r="FP92" s="102"/>
      <c r="FQ92" s="102"/>
      <c r="FR92" s="102"/>
      <c r="FS92" s="102"/>
      <c r="FT92" s="102"/>
      <c r="FU92" s="102"/>
      <c r="FV92" s="102"/>
      <c r="FW92" s="102"/>
      <c r="FX92" s="102"/>
      <c r="FY92" s="102"/>
      <c r="FZ92" s="102"/>
      <c r="GA92" s="102"/>
      <c r="GB92" s="102"/>
      <c r="GC92" s="102"/>
      <c r="GD92" s="102"/>
      <c r="GE92" s="102"/>
      <c r="GF92" s="102"/>
      <c r="GG92" s="102"/>
      <c r="GH92" s="102"/>
      <c r="GI92" s="102"/>
      <c r="GJ92" s="102"/>
      <c r="GK92" s="102"/>
      <c r="GL92" s="102"/>
      <c r="GM92" s="102"/>
      <c r="GN92" s="102"/>
      <c r="GO92" s="102"/>
      <c r="GP92" s="102"/>
      <c r="GQ92" s="102"/>
      <c r="GR92" s="102"/>
      <c r="GS92" s="102"/>
      <c r="GT92" s="102"/>
      <c r="GU92" s="102"/>
      <c r="GV92" s="102"/>
      <c r="GW92" s="102"/>
      <c r="GX92" s="102"/>
      <c r="GY92" s="102"/>
      <c r="GZ92" s="102"/>
      <c r="HA92" s="102"/>
      <c r="HB92" s="102"/>
      <c r="HC92" s="102"/>
      <c r="HD92" s="102"/>
      <c r="HE92" s="102"/>
      <c r="HF92" s="102"/>
      <c r="HG92" s="102"/>
      <c r="HH92" s="102"/>
      <c r="HI92" s="102"/>
      <c r="HJ92" s="102"/>
      <c r="HK92" s="102"/>
      <c r="HL92" s="102"/>
      <c r="HM92" s="102"/>
      <c r="HN92" s="102"/>
      <c r="HO92" s="102"/>
      <c r="HP92" s="102"/>
      <c r="HQ92" s="102"/>
      <c r="HR92" s="102"/>
      <c r="HS92" s="102"/>
      <c r="HT92" s="102"/>
      <c r="HU92" s="102"/>
      <c r="HV92" s="102"/>
      <c r="HW92" s="102"/>
      <c r="HX92" s="102"/>
      <c r="HY92" s="102"/>
      <c r="HZ92" s="102"/>
      <c r="IA92" s="102"/>
      <c r="IB92" s="102"/>
      <c r="IC92" s="102"/>
      <c r="ID92" s="102"/>
      <c r="IE92" s="102"/>
      <c r="IF92" s="102"/>
      <c r="IG92" s="102"/>
      <c r="IH92" s="102"/>
      <c r="II92" s="102"/>
      <c r="IJ92" s="102"/>
      <c r="IK92" s="102"/>
      <c r="IL92" s="102"/>
      <c r="IM92" s="102"/>
      <c r="IN92" s="102"/>
      <c r="IO92" s="102"/>
      <c r="IP92" s="102"/>
      <c r="IQ92" s="102"/>
      <c r="IR92" s="102"/>
      <c r="IS92" s="102"/>
      <c r="IT92" s="102"/>
      <c r="IU92" s="102"/>
      <c r="IV92" s="102"/>
      <c r="IW92" s="102"/>
      <c r="IX92" s="102"/>
      <c r="IY92" s="102"/>
      <c r="IZ92" s="102"/>
      <c r="JA92" s="102"/>
      <c r="JB92" s="102"/>
      <c r="JC92" s="102"/>
      <c r="JD92" s="102"/>
      <c r="JE92" s="102"/>
      <c r="JF92" s="102"/>
      <c r="JG92" s="102"/>
      <c r="JH92" s="102"/>
      <c r="JI92" s="102"/>
      <c r="JJ92" s="102"/>
      <c r="JK92" s="102"/>
      <c r="JL92" s="102"/>
      <c r="JM92" s="102"/>
      <c r="JN92" s="102"/>
      <c r="JO92" s="102"/>
      <c r="JP92" s="102"/>
      <c r="JQ92" s="102"/>
      <c r="JR92" s="102"/>
      <c r="JS92" s="102"/>
      <c r="JT92" s="102"/>
      <c r="JU92" s="102"/>
      <c r="JV92" s="102"/>
      <c r="JW92" s="102"/>
      <c r="JX92" s="102"/>
      <c r="JY92" s="102"/>
      <c r="JZ92" s="102"/>
      <c r="KA92" s="102"/>
      <c r="KB92" s="102"/>
      <c r="KC92" s="102"/>
      <c r="KD92" s="102"/>
      <c r="KE92" s="102"/>
      <c r="KF92" s="102"/>
      <c r="KG92" s="102"/>
      <c r="KH92" s="102"/>
      <c r="KI92" s="102"/>
      <c r="KJ92" s="102"/>
      <c r="KK92" s="102"/>
      <c r="KL92" s="102"/>
      <c r="KM92" s="102"/>
      <c r="KN92" s="102"/>
      <c r="KO92" s="102"/>
      <c r="KP92" s="102"/>
      <c r="KQ92" s="102"/>
      <c r="KR92" s="102"/>
      <c r="KS92" s="102"/>
      <c r="KT92" s="102"/>
      <c r="KU92" s="102"/>
      <c r="KV92" s="102"/>
      <c r="KW92" s="102"/>
      <c r="KX92" s="102"/>
      <c r="KY92" s="102"/>
      <c r="KZ92" s="102"/>
      <c r="LA92" s="102"/>
      <c r="LB92" s="102"/>
      <c r="LC92" s="102"/>
      <c r="LD92" s="102"/>
      <c r="LE92" s="102"/>
      <c r="LF92" s="102"/>
      <c r="LG92" s="102"/>
      <c r="LH92" s="102"/>
      <c r="LI92" s="102"/>
      <c r="LJ92" s="102"/>
      <c r="LK92" s="102"/>
      <c r="LL92" s="102"/>
      <c r="LM92" s="102"/>
      <c r="LN92" s="102"/>
      <c r="LO92" s="102"/>
      <c r="LP92" s="102"/>
      <c r="LQ92" s="102"/>
      <c r="LR92" s="102"/>
      <c r="LS92" s="102"/>
      <c r="LT92" s="102"/>
      <c r="LU92" s="102"/>
      <c r="LV92" s="102"/>
      <c r="LW92" s="102"/>
      <c r="LX92" s="102"/>
      <c r="LY92" s="102"/>
    </row>
    <row r="93" ht="15" customHeight="1">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c r="EO93" s="102"/>
      <c r="EP93" s="102"/>
      <c r="EQ93" s="102"/>
      <c r="ER93" s="102"/>
      <c r="ES93" s="102"/>
      <c r="ET93" s="102"/>
      <c r="EU93" s="102"/>
      <c r="EV93" s="102"/>
      <c r="EW93" s="102"/>
      <c r="EX93" s="102"/>
      <c r="EY93" s="102"/>
      <c r="EZ93" s="102"/>
      <c r="FA93" s="102"/>
      <c r="FB93" s="102"/>
      <c r="FC93" s="102"/>
      <c r="FD93" s="102"/>
      <c r="FE93" s="102"/>
      <c r="FF93" s="102"/>
      <c r="FG93" s="102"/>
      <c r="FH93" s="102"/>
      <c r="FI93" s="102"/>
      <c r="FJ93" s="102"/>
      <c r="FK93" s="102"/>
      <c r="FL93" s="102"/>
      <c r="FM93" s="102"/>
      <c r="FN93" s="102"/>
      <c r="FO93" s="102"/>
      <c r="FP93" s="102"/>
      <c r="FQ93" s="102"/>
      <c r="FR93" s="102"/>
      <c r="FS93" s="102"/>
      <c r="FT93" s="102"/>
      <c r="FU93" s="102"/>
      <c r="FV93" s="102"/>
      <c r="FW93" s="102"/>
      <c r="FX93" s="102"/>
      <c r="FY93" s="102"/>
      <c r="FZ93" s="102"/>
      <c r="GA93" s="102"/>
      <c r="GB93" s="102"/>
      <c r="GC93" s="102"/>
      <c r="GD93" s="102"/>
      <c r="GE93" s="102"/>
      <c r="GF93" s="102"/>
      <c r="GG93" s="102"/>
      <c r="GH93" s="102"/>
      <c r="GI93" s="102"/>
      <c r="GJ93" s="102"/>
      <c r="GK93" s="102"/>
      <c r="GL93" s="102"/>
      <c r="GM93" s="102"/>
      <c r="GN93" s="102"/>
      <c r="GO93" s="102"/>
      <c r="GP93" s="102"/>
      <c r="GQ93" s="102"/>
      <c r="GR93" s="102"/>
      <c r="GS93" s="102"/>
      <c r="GT93" s="102"/>
      <c r="GU93" s="102"/>
      <c r="GV93" s="102"/>
      <c r="GW93" s="102"/>
      <c r="GX93" s="102"/>
      <c r="GY93" s="102"/>
      <c r="GZ93" s="102"/>
      <c r="HA93" s="102"/>
      <c r="HB93" s="102"/>
      <c r="HC93" s="102"/>
      <c r="HD93" s="102"/>
      <c r="HE93" s="102"/>
      <c r="HF93" s="102"/>
      <c r="HG93" s="102"/>
      <c r="HH93" s="102"/>
      <c r="HI93" s="102"/>
      <c r="HJ93" s="102"/>
      <c r="HK93" s="102"/>
      <c r="HL93" s="102"/>
      <c r="HM93" s="102"/>
      <c r="HN93" s="102"/>
      <c r="HO93" s="102"/>
      <c r="HP93" s="102"/>
      <c r="HQ93" s="102"/>
      <c r="HR93" s="102"/>
      <c r="HS93" s="102"/>
      <c r="HT93" s="102"/>
      <c r="HU93" s="102"/>
      <c r="HV93" s="102"/>
      <c r="HW93" s="102"/>
      <c r="HX93" s="102"/>
      <c r="HY93" s="102"/>
      <c r="HZ93" s="102"/>
      <c r="IA93" s="102"/>
      <c r="IB93" s="102"/>
      <c r="IC93" s="102"/>
      <c r="ID93" s="102"/>
      <c r="IE93" s="102"/>
      <c r="IF93" s="102"/>
      <c r="IG93" s="102"/>
      <c r="IH93" s="102"/>
      <c r="II93" s="102"/>
      <c r="IJ93" s="102"/>
      <c r="IK93" s="102"/>
      <c r="IL93" s="102"/>
      <c r="IM93" s="102"/>
      <c r="IN93" s="102"/>
      <c r="IO93" s="102"/>
      <c r="IP93" s="102"/>
      <c r="IQ93" s="102"/>
      <c r="IR93" s="102"/>
      <c r="IS93" s="102"/>
      <c r="IT93" s="102"/>
      <c r="IU93" s="102"/>
      <c r="IV93" s="102"/>
      <c r="IW93" s="102"/>
      <c r="IX93" s="102"/>
      <c r="IY93" s="102"/>
      <c r="IZ93" s="102"/>
      <c r="JA93" s="102"/>
      <c r="JB93" s="102"/>
      <c r="JC93" s="102"/>
      <c r="JD93" s="102"/>
      <c r="JE93" s="102"/>
      <c r="JF93" s="102"/>
      <c r="JG93" s="102"/>
      <c r="JH93" s="102"/>
      <c r="JI93" s="102"/>
      <c r="JJ93" s="102"/>
      <c r="JK93" s="102"/>
      <c r="JL93" s="102"/>
      <c r="JM93" s="102"/>
      <c r="JN93" s="102"/>
      <c r="JO93" s="102"/>
      <c r="JP93" s="102"/>
      <c r="JQ93" s="102"/>
      <c r="JR93" s="102"/>
      <c r="JS93" s="102"/>
      <c r="JT93" s="102"/>
      <c r="JU93" s="102"/>
      <c r="JV93" s="102"/>
      <c r="JW93" s="102"/>
      <c r="JX93" s="102"/>
      <c r="JY93" s="102"/>
      <c r="JZ93" s="102"/>
      <c r="KA93" s="102"/>
      <c r="KB93" s="102"/>
      <c r="KC93" s="102"/>
      <c r="KD93" s="102"/>
      <c r="KE93" s="102"/>
      <c r="KF93" s="102"/>
      <c r="KG93" s="102"/>
      <c r="KH93" s="102"/>
      <c r="KI93" s="102"/>
      <c r="KJ93" s="102"/>
      <c r="KK93" s="102"/>
      <c r="KL93" s="102"/>
      <c r="KM93" s="102"/>
      <c r="KN93" s="102"/>
      <c r="KO93" s="102"/>
      <c r="KP93" s="102"/>
      <c r="KQ93" s="102"/>
      <c r="KR93" s="102"/>
      <c r="KS93" s="102"/>
      <c r="KT93" s="102"/>
      <c r="KU93" s="102"/>
      <c r="KV93" s="102"/>
      <c r="KW93" s="102"/>
      <c r="KX93" s="102"/>
      <c r="KY93" s="102"/>
      <c r="KZ93" s="102"/>
      <c r="LA93" s="102"/>
      <c r="LB93" s="102"/>
      <c r="LC93" s="102"/>
      <c r="LD93" s="102"/>
      <c r="LE93" s="102"/>
      <c r="LF93" s="102"/>
      <c r="LG93" s="102"/>
      <c r="LH93" s="102"/>
      <c r="LI93" s="102"/>
      <c r="LJ93" s="102"/>
      <c r="LK93" s="102"/>
      <c r="LL93" s="102"/>
      <c r="LM93" s="102"/>
      <c r="LN93" s="102"/>
      <c r="LO93" s="102"/>
      <c r="LP93" s="102"/>
      <c r="LQ93" s="102"/>
      <c r="LR93" s="102"/>
      <c r="LS93" s="102"/>
      <c r="LT93" s="102"/>
      <c r="LU93" s="102"/>
      <c r="LV93" s="102"/>
      <c r="LW93" s="102"/>
      <c r="LX93" s="102"/>
      <c r="LY93" s="102"/>
    </row>
    <row r="94" ht="15" customHeight="1">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c r="EO94" s="102"/>
      <c r="EP94" s="102"/>
      <c r="EQ94" s="102"/>
      <c r="ER94" s="102"/>
      <c r="ES94" s="102"/>
      <c r="ET94" s="102"/>
      <c r="EU94" s="102"/>
      <c r="EV94" s="102"/>
      <c r="EW94" s="102"/>
      <c r="EX94" s="102"/>
      <c r="EY94" s="102"/>
      <c r="EZ94" s="102"/>
      <c r="FA94" s="102"/>
      <c r="FB94" s="102"/>
      <c r="FC94" s="102"/>
      <c r="FD94" s="102"/>
      <c r="FE94" s="102"/>
      <c r="FF94" s="102"/>
      <c r="FG94" s="102"/>
      <c r="FH94" s="102"/>
      <c r="FI94" s="102"/>
      <c r="FJ94" s="102"/>
      <c r="FK94" s="102"/>
      <c r="FL94" s="102"/>
      <c r="FM94" s="102"/>
      <c r="FN94" s="102"/>
      <c r="FO94" s="102"/>
      <c r="FP94" s="102"/>
      <c r="FQ94" s="102"/>
      <c r="FR94" s="102"/>
      <c r="FS94" s="102"/>
      <c r="FT94" s="102"/>
      <c r="FU94" s="102"/>
      <c r="FV94" s="102"/>
      <c r="FW94" s="102"/>
      <c r="FX94" s="102"/>
      <c r="FY94" s="102"/>
      <c r="FZ94" s="102"/>
      <c r="GA94" s="102"/>
      <c r="GB94" s="102"/>
      <c r="GC94" s="102"/>
      <c r="GD94" s="102"/>
      <c r="GE94" s="102"/>
      <c r="GF94" s="102"/>
      <c r="GG94" s="102"/>
      <c r="GH94" s="102"/>
      <c r="GI94" s="102"/>
      <c r="GJ94" s="102"/>
      <c r="GK94" s="102"/>
      <c r="GL94" s="102"/>
      <c r="GM94" s="102"/>
      <c r="GN94" s="102"/>
      <c r="GO94" s="102"/>
      <c r="GP94" s="102"/>
      <c r="GQ94" s="102"/>
      <c r="GR94" s="102"/>
      <c r="GS94" s="102"/>
      <c r="GT94" s="102"/>
      <c r="GU94" s="102"/>
      <c r="GV94" s="102"/>
      <c r="GW94" s="102"/>
      <c r="GX94" s="102"/>
      <c r="GY94" s="102"/>
      <c r="GZ94" s="102"/>
      <c r="HA94" s="102"/>
      <c r="HB94" s="102"/>
      <c r="HC94" s="102"/>
      <c r="HD94" s="102"/>
      <c r="HE94" s="102"/>
      <c r="HF94" s="102"/>
      <c r="HG94" s="102"/>
      <c r="HH94" s="102"/>
      <c r="HI94" s="102"/>
      <c r="HJ94" s="102"/>
      <c r="HK94" s="102"/>
      <c r="HL94" s="102"/>
      <c r="HM94" s="102"/>
      <c r="HN94" s="102"/>
      <c r="HO94" s="102"/>
      <c r="HP94" s="102"/>
      <c r="HQ94" s="102"/>
      <c r="HR94" s="102"/>
      <c r="HS94" s="102"/>
      <c r="HT94" s="102"/>
      <c r="HU94" s="102"/>
      <c r="HV94" s="102"/>
      <c r="HW94" s="102"/>
      <c r="HX94" s="102"/>
      <c r="HY94" s="102"/>
      <c r="HZ94" s="102"/>
      <c r="IA94" s="102"/>
      <c r="IB94" s="102"/>
      <c r="IC94" s="102"/>
      <c r="ID94" s="102"/>
      <c r="IE94" s="102"/>
      <c r="IF94" s="102"/>
      <c r="IG94" s="102"/>
      <c r="IH94" s="102"/>
      <c r="II94" s="102"/>
      <c r="IJ94" s="102"/>
      <c r="IK94" s="102"/>
      <c r="IL94" s="102"/>
      <c r="IM94" s="102"/>
      <c r="IN94" s="102"/>
      <c r="IO94" s="102"/>
      <c r="IP94" s="102"/>
      <c r="IQ94" s="102"/>
      <c r="IR94" s="102"/>
      <c r="IS94" s="102"/>
      <c r="IT94" s="102"/>
      <c r="IU94" s="102"/>
      <c r="IV94" s="102"/>
      <c r="IW94" s="102"/>
      <c r="IX94" s="102"/>
      <c r="IY94" s="102"/>
      <c r="IZ94" s="102"/>
      <c r="JA94" s="102"/>
      <c r="JB94" s="102"/>
      <c r="JC94" s="102"/>
      <c r="JD94" s="102"/>
      <c r="JE94" s="102"/>
      <c r="JF94" s="102"/>
      <c r="JG94" s="102"/>
      <c r="JH94" s="102"/>
      <c r="JI94" s="102"/>
      <c r="JJ94" s="102"/>
      <c r="JK94" s="102"/>
      <c r="JL94" s="102"/>
      <c r="JM94" s="102"/>
      <c r="JN94" s="102"/>
      <c r="JO94" s="102"/>
      <c r="JP94" s="102"/>
      <c r="JQ94" s="102"/>
      <c r="JR94" s="102"/>
      <c r="JS94" s="102"/>
      <c r="JT94" s="102"/>
      <c r="JU94" s="102"/>
      <c r="JV94" s="102"/>
      <c r="JW94" s="102"/>
      <c r="JX94" s="102"/>
      <c r="JY94" s="102"/>
      <c r="JZ94" s="102"/>
      <c r="KA94" s="102"/>
      <c r="KB94" s="102"/>
      <c r="KC94" s="102"/>
      <c r="KD94" s="102"/>
      <c r="KE94" s="102"/>
      <c r="KF94" s="102"/>
      <c r="KG94" s="102"/>
      <c r="KH94" s="102"/>
      <c r="KI94" s="102"/>
      <c r="KJ94" s="102"/>
      <c r="KK94" s="102"/>
      <c r="KL94" s="102"/>
      <c r="KM94" s="102"/>
      <c r="KN94" s="102"/>
      <c r="KO94" s="102"/>
      <c r="KP94" s="102"/>
      <c r="KQ94" s="102"/>
      <c r="KR94" s="102"/>
      <c r="KS94" s="102"/>
      <c r="KT94" s="102"/>
      <c r="KU94" s="102"/>
      <c r="KV94" s="102"/>
      <c r="KW94" s="102"/>
      <c r="KX94" s="102"/>
      <c r="KY94" s="102"/>
      <c r="KZ94" s="102"/>
      <c r="LA94" s="102"/>
      <c r="LB94" s="102"/>
      <c r="LC94" s="102"/>
      <c r="LD94" s="102"/>
      <c r="LE94" s="102"/>
      <c r="LF94" s="102"/>
      <c r="LG94" s="102"/>
      <c r="LH94" s="102"/>
      <c r="LI94" s="102"/>
      <c r="LJ94" s="102"/>
      <c r="LK94" s="102"/>
      <c r="LL94" s="102"/>
      <c r="LM94" s="102"/>
      <c r="LN94" s="102"/>
      <c r="LO94" s="102"/>
      <c r="LP94" s="102"/>
      <c r="LQ94" s="102"/>
      <c r="LR94" s="102"/>
      <c r="LS94" s="102"/>
      <c r="LT94" s="102"/>
      <c r="LU94" s="102"/>
      <c r="LV94" s="102"/>
      <c r="LW94" s="102"/>
      <c r="LX94" s="102"/>
      <c r="LY94" s="102"/>
    </row>
    <row r="95" ht="15" customHeight="1">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c r="EO95" s="102"/>
      <c r="EP95" s="102"/>
      <c r="EQ95" s="102"/>
      <c r="ER95" s="102"/>
      <c r="ES95" s="102"/>
      <c r="ET95" s="102"/>
      <c r="EU95" s="102"/>
      <c r="EV95" s="102"/>
      <c r="EW95" s="102"/>
      <c r="EX95" s="102"/>
      <c r="EY95" s="102"/>
      <c r="EZ95" s="102"/>
      <c r="FA95" s="102"/>
      <c r="FB95" s="102"/>
      <c r="FC95" s="102"/>
      <c r="FD95" s="102"/>
      <c r="FE95" s="102"/>
      <c r="FF95" s="102"/>
      <c r="FG95" s="102"/>
      <c r="FH95" s="102"/>
      <c r="FI95" s="102"/>
      <c r="FJ95" s="102"/>
      <c r="FK95" s="102"/>
      <c r="FL95" s="102"/>
      <c r="FM95" s="102"/>
      <c r="FN95" s="102"/>
      <c r="FO95" s="102"/>
      <c r="FP95" s="102"/>
      <c r="FQ95" s="102"/>
      <c r="FR95" s="102"/>
      <c r="FS95" s="102"/>
      <c r="FT95" s="102"/>
      <c r="FU95" s="102"/>
      <c r="FV95" s="102"/>
      <c r="FW95" s="102"/>
      <c r="FX95" s="102"/>
      <c r="FY95" s="102"/>
      <c r="FZ95" s="102"/>
      <c r="GA95" s="102"/>
      <c r="GB95" s="102"/>
      <c r="GC95" s="102"/>
      <c r="GD95" s="102"/>
      <c r="GE95" s="102"/>
      <c r="GF95" s="102"/>
      <c r="GG95" s="102"/>
      <c r="GH95" s="102"/>
      <c r="GI95" s="102"/>
      <c r="GJ95" s="102"/>
      <c r="GK95" s="102"/>
      <c r="GL95" s="102"/>
      <c r="GM95" s="102"/>
      <c r="GN95" s="102"/>
      <c r="GO95" s="102"/>
      <c r="GP95" s="102"/>
      <c r="GQ95" s="102"/>
      <c r="GR95" s="102"/>
      <c r="GS95" s="102"/>
      <c r="GT95" s="102"/>
      <c r="GU95" s="102"/>
      <c r="GV95" s="102"/>
      <c r="GW95" s="102"/>
      <c r="GX95" s="102"/>
      <c r="GY95" s="102"/>
      <c r="GZ95" s="102"/>
      <c r="HA95" s="102"/>
      <c r="HB95" s="102"/>
      <c r="HC95" s="102"/>
      <c r="HD95" s="102"/>
      <c r="HE95" s="102"/>
      <c r="HF95" s="102"/>
      <c r="HG95" s="102"/>
      <c r="HH95" s="102"/>
      <c r="HI95" s="102"/>
      <c r="HJ95" s="102"/>
      <c r="HK95" s="102"/>
      <c r="HL95" s="102"/>
      <c r="HM95" s="102"/>
      <c r="HN95" s="102"/>
      <c r="HO95" s="102"/>
      <c r="HP95" s="102"/>
      <c r="HQ95" s="102"/>
      <c r="HR95" s="102"/>
      <c r="HS95" s="102"/>
      <c r="HT95" s="102"/>
      <c r="HU95" s="102"/>
      <c r="HV95" s="102"/>
      <c r="HW95" s="102"/>
      <c r="HX95" s="102"/>
      <c r="HY95" s="102"/>
      <c r="HZ95" s="102"/>
      <c r="IA95" s="102"/>
      <c r="IB95" s="102"/>
      <c r="IC95" s="102"/>
      <c r="ID95" s="102"/>
      <c r="IE95" s="102"/>
      <c r="IF95" s="102"/>
      <c r="IG95" s="102"/>
      <c r="IH95" s="102"/>
      <c r="II95" s="102"/>
      <c r="IJ95" s="102"/>
      <c r="IK95" s="102"/>
      <c r="IL95" s="102"/>
      <c r="IM95" s="102"/>
      <c r="IN95" s="102"/>
      <c r="IO95" s="102"/>
      <c r="IP95" s="102"/>
      <c r="IQ95" s="102"/>
      <c r="IR95" s="102"/>
      <c r="IS95" s="102"/>
      <c r="IT95" s="102"/>
      <c r="IU95" s="102"/>
      <c r="IV95" s="102"/>
      <c r="IW95" s="102"/>
      <c r="IX95" s="102"/>
      <c r="IY95" s="102"/>
      <c r="IZ95" s="102"/>
      <c r="JA95" s="102"/>
      <c r="JB95" s="102"/>
      <c r="JC95" s="102"/>
      <c r="JD95" s="102"/>
      <c r="JE95" s="102"/>
      <c r="JF95" s="102"/>
      <c r="JG95" s="102"/>
      <c r="JH95" s="102"/>
      <c r="JI95" s="102"/>
      <c r="JJ95" s="102"/>
      <c r="JK95" s="102"/>
      <c r="JL95" s="102"/>
      <c r="JM95" s="102"/>
      <c r="JN95" s="102"/>
      <c r="JO95" s="102"/>
      <c r="JP95" s="102"/>
      <c r="JQ95" s="102"/>
      <c r="JR95" s="102"/>
      <c r="JS95" s="102"/>
      <c r="JT95" s="102"/>
      <c r="JU95" s="102"/>
      <c r="JV95" s="102"/>
      <c r="JW95" s="102"/>
      <c r="JX95" s="102"/>
      <c r="JY95" s="102"/>
      <c r="JZ95" s="102"/>
      <c r="KA95" s="102"/>
      <c r="KB95" s="102"/>
      <c r="KC95" s="102"/>
      <c r="KD95" s="102"/>
      <c r="KE95" s="102"/>
      <c r="KF95" s="102"/>
      <c r="KG95" s="102"/>
      <c r="KH95" s="102"/>
      <c r="KI95" s="102"/>
      <c r="KJ95" s="102"/>
      <c r="KK95" s="102"/>
      <c r="KL95" s="102"/>
      <c r="KM95" s="102"/>
      <c r="KN95" s="102"/>
      <c r="KO95" s="102"/>
      <c r="KP95" s="102"/>
      <c r="KQ95" s="102"/>
      <c r="KR95" s="102"/>
      <c r="KS95" s="102"/>
      <c r="KT95" s="102"/>
      <c r="KU95" s="102"/>
      <c r="KV95" s="102"/>
      <c r="KW95" s="102"/>
      <c r="KX95" s="102"/>
      <c r="KY95" s="102"/>
      <c r="KZ95" s="102"/>
      <c r="LA95" s="102"/>
      <c r="LB95" s="102"/>
      <c r="LC95" s="102"/>
      <c r="LD95" s="102"/>
      <c r="LE95" s="102"/>
      <c r="LF95" s="102"/>
      <c r="LG95" s="102"/>
      <c r="LH95" s="102"/>
      <c r="LI95" s="102"/>
      <c r="LJ95" s="102"/>
      <c r="LK95" s="102"/>
      <c r="LL95" s="102"/>
      <c r="LM95" s="102"/>
      <c r="LN95" s="102"/>
      <c r="LO95" s="102"/>
      <c r="LP95" s="102"/>
      <c r="LQ95" s="102"/>
      <c r="LR95" s="102"/>
      <c r="LS95" s="102"/>
      <c r="LT95" s="102"/>
      <c r="LU95" s="102"/>
      <c r="LV95" s="102"/>
      <c r="LW95" s="102"/>
      <c r="LX95" s="102"/>
      <c r="LY95" s="102"/>
    </row>
    <row r="96" ht="15" customHeight="1">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c r="EO96" s="102"/>
      <c r="EP96" s="102"/>
      <c r="EQ96" s="102"/>
      <c r="ER96" s="102"/>
      <c r="ES96" s="102"/>
      <c r="ET96" s="102"/>
      <c r="EU96" s="102"/>
      <c r="EV96" s="102"/>
      <c r="EW96" s="102"/>
      <c r="EX96" s="102"/>
      <c r="EY96" s="102"/>
      <c r="EZ96" s="102"/>
      <c r="FA96" s="102"/>
      <c r="FB96" s="102"/>
      <c r="FC96" s="102"/>
      <c r="FD96" s="102"/>
      <c r="FE96" s="102"/>
      <c r="FF96" s="102"/>
      <c r="FG96" s="102"/>
      <c r="FH96" s="102"/>
      <c r="FI96" s="102"/>
      <c r="FJ96" s="102"/>
      <c r="FK96" s="102"/>
      <c r="FL96" s="102"/>
      <c r="FM96" s="102"/>
      <c r="FN96" s="102"/>
      <c r="FO96" s="102"/>
      <c r="FP96" s="102"/>
      <c r="FQ96" s="102"/>
      <c r="FR96" s="102"/>
      <c r="FS96" s="102"/>
      <c r="FT96" s="102"/>
      <c r="FU96" s="102"/>
      <c r="FV96" s="102"/>
      <c r="FW96" s="102"/>
      <c r="FX96" s="102"/>
      <c r="FY96" s="102"/>
      <c r="FZ96" s="102"/>
      <c r="GA96" s="102"/>
      <c r="GB96" s="102"/>
      <c r="GC96" s="102"/>
      <c r="GD96" s="102"/>
      <c r="GE96" s="102"/>
      <c r="GF96" s="102"/>
      <c r="GG96" s="102"/>
      <c r="GH96" s="102"/>
      <c r="GI96" s="102"/>
      <c r="GJ96" s="102"/>
      <c r="GK96" s="102"/>
      <c r="GL96" s="102"/>
      <c r="GM96" s="102"/>
      <c r="GN96" s="102"/>
      <c r="GO96" s="102"/>
      <c r="GP96" s="102"/>
      <c r="GQ96" s="102"/>
      <c r="GR96" s="102"/>
      <c r="GS96" s="102"/>
      <c r="GT96" s="102"/>
      <c r="GU96" s="102"/>
      <c r="GV96" s="102"/>
      <c r="GW96" s="102"/>
      <c r="GX96" s="102"/>
      <c r="GY96" s="102"/>
      <c r="GZ96" s="102"/>
      <c r="HA96" s="102"/>
      <c r="HB96" s="102"/>
      <c r="HC96" s="102"/>
      <c r="HD96" s="102"/>
      <c r="HE96" s="102"/>
      <c r="HF96" s="102"/>
      <c r="HG96" s="102"/>
      <c r="HH96" s="102"/>
      <c r="HI96" s="102"/>
      <c r="HJ96" s="102"/>
      <c r="HK96" s="102"/>
      <c r="HL96" s="102"/>
      <c r="HM96" s="102"/>
      <c r="HN96" s="102"/>
      <c r="HO96" s="102"/>
      <c r="HP96" s="102"/>
      <c r="HQ96" s="102"/>
      <c r="HR96" s="102"/>
      <c r="HS96" s="102"/>
      <c r="HT96" s="102"/>
      <c r="HU96" s="102"/>
      <c r="HV96" s="102"/>
      <c r="HW96" s="102"/>
      <c r="HX96" s="102"/>
      <c r="HY96" s="102"/>
      <c r="HZ96" s="102"/>
      <c r="IA96" s="102"/>
      <c r="IB96" s="102"/>
      <c r="IC96" s="102"/>
      <c r="ID96" s="102"/>
      <c r="IE96" s="102"/>
      <c r="IF96" s="102"/>
      <c r="IG96" s="102"/>
      <c r="IH96" s="102"/>
      <c r="II96" s="102"/>
      <c r="IJ96" s="102"/>
      <c r="IK96" s="102"/>
      <c r="IL96" s="102"/>
      <c r="IM96" s="102"/>
      <c r="IN96" s="102"/>
      <c r="IO96" s="102"/>
      <c r="IP96" s="102"/>
      <c r="IQ96" s="102"/>
      <c r="IR96" s="102"/>
      <c r="IS96" s="102"/>
      <c r="IT96" s="102"/>
      <c r="IU96" s="102"/>
      <c r="IV96" s="102"/>
      <c r="IW96" s="102"/>
      <c r="IX96" s="102"/>
      <c r="IY96" s="102"/>
      <c r="IZ96" s="102"/>
      <c r="JA96" s="102"/>
      <c r="JB96" s="102"/>
      <c r="JC96" s="102"/>
      <c r="JD96" s="102"/>
      <c r="JE96" s="102"/>
      <c r="JF96" s="102"/>
      <c r="JG96" s="102"/>
      <c r="JH96" s="102"/>
      <c r="JI96" s="102"/>
      <c r="JJ96" s="102"/>
      <c r="JK96" s="102"/>
      <c r="JL96" s="102"/>
      <c r="JM96" s="102"/>
      <c r="JN96" s="102"/>
      <c r="JO96" s="102"/>
      <c r="JP96" s="102"/>
      <c r="JQ96" s="102"/>
      <c r="JR96" s="102"/>
      <c r="JS96" s="102"/>
      <c r="JT96" s="102"/>
      <c r="JU96" s="102"/>
      <c r="JV96" s="102"/>
      <c r="JW96" s="102"/>
      <c r="JX96" s="102"/>
      <c r="JY96" s="102"/>
      <c r="JZ96" s="102"/>
      <c r="KA96" s="102"/>
      <c r="KB96" s="102"/>
      <c r="KC96" s="102"/>
      <c r="KD96" s="102"/>
      <c r="KE96" s="102"/>
      <c r="KF96" s="102"/>
      <c r="KG96" s="102"/>
      <c r="KH96" s="102"/>
      <c r="KI96" s="102"/>
      <c r="KJ96" s="102"/>
      <c r="KK96" s="102"/>
      <c r="KL96" s="102"/>
      <c r="KM96" s="102"/>
      <c r="KN96" s="102"/>
      <c r="KO96" s="102"/>
      <c r="KP96" s="102"/>
      <c r="KQ96" s="102"/>
      <c r="KR96" s="102"/>
      <c r="KS96" s="102"/>
      <c r="KT96" s="102"/>
      <c r="KU96" s="102"/>
      <c r="KV96" s="102"/>
      <c r="KW96" s="102"/>
      <c r="KX96" s="102"/>
      <c r="KY96" s="102"/>
      <c r="KZ96" s="102"/>
      <c r="LA96" s="102"/>
      <c r="LB96" s="102"/>
      <c r="LC96" s="102"/>
      <c r="LD96" s="102"/>
      <c r="LE96" s="102"/>
      <c r="LF96" s="102"/>
      <c r="LG96" s="102"/>
      <c r="LH96" s="102"/>
      <c r="LI96" s="102"/>
      <c r="LJ96" s="102"/>
      <c r="LK96" s="102"/>
      <c r="LL96" s="102"/>
      <c r="LM96" s="102"/>
      <c r="LN96" s="102"/>
      <c r="LO96" s="102"/>
      <c r="LP96" s="102"/>
      <c r="LQ96" s="102"/>
      <c r="LR96" s="102"/>
      <c r="LS96" s="102"/>
      <c r="LT96" s="102"/>
      <c r="LU96" s="102"/>
      <c r="LV96" s="102"/>
      <c r="LW96" s="102"/>
      <c r="LX96" s="102"/>
      <c r="LY96" s="102"/>
    </row>
    <row r="97" ht="15" customHeight="1">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c r="EO97" s="102"/>
      <c r="EP97" s="102"/>
      <c r="EQ97" s="102"/>
      <c r="ER97" s="102"/>
      <c r="ES97" s="102"/>
      <c r="ET97" s="102"/>
      <c r="EU97" s="102"/>
      <c r="EV97" s="102"/>
      <c r="EW97" s="102"/>
      <c r="EX97" s="102"/>
      <c r="EY97" s="102"/>
      <c r="EZ97" s="102"/>
      <c r="FA97" s="102"/>
      <c r="FB97" s="102"/>
      <c r="FC97" s="102"/>
      <c r="FD97" s="102"/>
      <c r="FE97" s="102"/>
      <c r="FF97" s="102"/>
      <c r="FG97" s="102"/>
      <c r="FH97" s="102"/>
      <c r="FI97" s="102"/>
      <c r="FJ97" s="102"/>
      <c r="FK97" s="102"/>
      <c r="FL97" s="102"/>
      <c r="FM97" s="102"/>
      <c r="FN97" s="102"/>
      <c r="FO97" s="102"/>
      <c r="FP97" s="102"/>
      <c r="FQ97" s="102"/>
      <c r="FR97" s="102"/>
      <c r="FS97" s="102"/>
      <c r="FT97" s="102"/>
      <c r="FU97" s="102"/>
      <c r="FV97" s="102"/>
      <c r="FW97" s="102"/>
      <c r="FX97" s="102"/>
      <c r="FY97" s="102"/>
      <c r="FZ97" s="102"/>
      <c r="GA97" s="102"/>
      <c r="GB97" s="102"/>
      <c r="GC97" s="102"/>
      <c r="GD97" s="102"/>
      <c r="GE97" s="102"/>
      <c r="GF97" s="102"/>
      <c r="GG97" s="102"/>
      <c r="GH97" s="102"/>
      <c r="GI97" s="102"/>
      <c r="GJ97" s="102"/>
      <c r="GK97" s="102"/>
      <c r="GL97" s="102"/>
      <c r="GM97" s="102"/>
      <c r="GN97" s="102"/>
      <c r="GO97" s="102"/>
      <c r="GP97" s="102"/>
      <c r="GQ97" s="102"/>
      <c r="GR97" s="102"/>
      <c r="GS97" s="102"/>
      <c r="GT97" s="102"/>
      <c r="GU97" s="102"/>
      <c r="GV97" s="102"/>
      <c r="GW97" s="102"/>
      <c r="GX97" s="102"/>
      <c r="GY97" s="102"/>
      <c r="GZ97" s="102"/>
      <c r="HA97" s="102"/>
      <c r="HB97" s="102"/>
      <c r="HC97" s="102"/>
      <c r="HD97" s="102"/>
      <c r="HE97" s="102"/>
      <c r="HF97" s="102"/>
      <c r="HG97" s="102"/>
      <c r="HH97" s="102"/>
      <c r="HI97" s="102"/>
      <c r="HJ97" s="102"/>
      <c r="HK97" s="102"/>
      <c r="HL97" s="102"/>
      <c r="HM97" s="102"/>
      <c r="HN97" s="102"/>
      <c r="HO97" s="102"/>
      <c r="HP97" s="102"/>
      <c r="HQ97" s="102"/>
      <c r="HR97" s="102"/>
      <c r="HS97" s="102"/>
      <c r="HT97" s="102"/>
      <c r="HU97" s="102"/>
      <c r="HV97" s="102"/>
      <c r="HW97" s="102"/>
      <c r="HX97" s="102"/>
      <c r="HY97" s="102"/>
      <c r="HZ97" s="102"/>
      <c r="IA97" s="102"/>
      <c r="IB97" s="102"/>
      <c r="IC97" s="102"/>
      <c r="ID97" s="102"/>
      <c r="IE97" s="102"/>
      <c r="IF97" s="102"/>
      <c r="IG97" s="102"/>
      <c r="IH97" s="102"/>
      <c r="II97" s="102"/>
      <c r="IJ97" s="102"/>
      <c r="IK97" s="102"/>
      <c r="IL97" s="102"/>
      <c r="IM97" s="102"/>
      <c r="IN97" s="102"/>
      <c r="IO97" s="102"/>
      <c r="IP97" s="102"/>
      <c r="IQ97" s="102"/>
      <c r="IR97" s="102"/>
      <c r="IS97" s="102"/>
      <c r="IT97" s="102"/>
      <c r="IU97" s="102"/>
      <c r="IV97" s="102"/>
      <c r="IW97" s="102"/>
      <c r="IX97" s="102"/>
      <c r="IY97" s="102"/>
      <c r="IZ97" s="102"/>
      <c r="JA97" s="102"/>
      <c r="JB97" s="102"/>
      <c r="JC97" s="102"/>
      <c r="JD97" s="102"/>
      <c r="JE97" s="102"/>
      <c r="JF97" s="102"/>
      <c r="JG97" s="102"/>
      <c r="JH97" s="102"/>
      <c r="JI97" s="102"/>
      <c r="JJ97" s="102"/>
      <c r="JK97" s="102"/>
      <c r="JL97" s="102"/>
      <c r="JM97" s="102"/>
      <c r="JN97" s="102"/>
      <c r="JO97" s="102"/>
      <c r="JP97" s="102"/>
      <c r="JQ97" s="102"/>
      <c r="JR97" s="102"/>
      <c r="JS97" s="102"/>
      <c r="JT97" s="102"/>
      <c r="JU97" s="102"/>
      <c r="JV97" s="102"/>
      <c r="JW97" s="102"/>
      <c r="JX97" s="102"/>
      <c r="JY97" s="102"/>
      <c r="JZ97" s="102"/>
      <c r="KA97" s="102"/>
      <c r="KB97" s="102"/>
      <c r="KC97" s="102"/>
      <c r="KD97" s="102"/>
      <c r="KE97" s="102"/>
      <c r="KF97" s="102"/>
      <c r="KG97" s="102"/>
      <c r="KH97" s="102"/>
      <c r="KI97" s="102"/>
      <c r="KJ97" s="102"/>
      <c r="KK97" s="102"/>
      <c r="KL97" s="102"/>
      <c r="KM97" s="102"/>
      <c r="KN97" s="102"/>
      <c r="KO97" s="102"/>
      <c r="KP97" s="102"/>
      <c r="KQ97" s="102"/>
      <c r="KR97" s="102"/>
      <c r="KS97" s="102"/>
      <c r="KT97" s="102"/>
      <c r="KU97" s="102"/>
      <c r="KV97" s="102"/>
      <c r="KW97" s="102"/>
      <c r="KX97" s="102"/>
      <c r="KY97" s="102"/>
      <c r="KZ97" s="102"/>
      <c r="LA97" s="102"/>
      <c r="LB97" s="102"/>
      <c r="LC97" s="102"/>
      <c r="LD97" s="102"/>
      <c r="LE97" s="102"/>
      <c r="LF97" s="102"/>
      <c r="LG97" s="102"/>
      <c r="LH97" s="102"/>
      <c r="LI97" s="102"/>
      <c r="LJ97" s="102"/>
      <c r="LK97" s="102"/>
      <c r="LL97" s="102"/>
      <c r="LM97" s="102"/>
      <c r="LN97" s="102"/>
      <c r="LO97" s="102"/>
      <c r="LP97" s="102"/>
      <c r="LQ97" s="102"/>
      <c r="LR97" s="102"/>
      <c r="LS97" s="102"/>
      <c r="LT97" s="102"/>
      <c r="LU97" s="102"/>
      <c r="LV97" s="102"/>
      <c r="LW97" s="102"/>
      <c r="LX97" s="102"/>
      <c r="LY97" s="102"/>
    </row>
    <row r="98" ht="15" customHeight="1">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c r="EO98" s="102"/>
      <c r="EP98" s="102"/>
      <c r="EQ98" s="102"/>
      <c r="ER98" s="102"/>
      <c r="ES98" s="102"/>
      <c r="ET98" s="102"/>
      <c r="EU98" s="102"/>
      <c r="EV98" s="102"/>
      <c r="EW98" s="102"/>
      <c r="EX98" s="102"/>
      <c r="EY98" s="102"/>
      <c r="EZ98" s="102"/>
      <c r="FA98" s="102"/>
      <c r="FB98" s="102"/>
      <c r="FC98" s="102"/>
      <c r="FD98" s="102"/>
      <c r="FE98" s="102"/>
      <c r="FF98" s="102"/>
      <c r="FG98" s="102"/>
      <c r="FH98" s="102"/>
      <c r="FI98" s="102"/>
      <c r="FJ98" s="102"/>
      <c r="FK98" s="102"/>
      <c r="FL98" s="102"/>
      <c r="FM98" s="102"/>
      <c r="FN98" s="102"/>
      <c r="FO98" s="102"/>
      <c r="FP98" s="102"/>
      <c r="FQ98" s="102"/>
      <c r="FR98" s="102"/>
      <c r="FS98" s="102"/>
      <c r="FT98" s="102"/>
      <c r="FU98" s="102"/>
      <c r="FV98" s="102"/>
      <c r="FW98" s="102"/>
      <c r="FX98" s="102"/>
      <c r="FY98" s="102"/>
      <c r="FZ98" s="102"/>
      <c r="GA98" s="102"/>
      <c r="GB98" s="102"/>
      <c r="GC98" s="102"/>
      <c r="GD98" s="102"/>
      <c r="GE98" s="102"/>
      <c r="GF98" s="102"/>
      <c r="GG98" s="102"/>
      <c r="GH98" s="102"/>
      <c r="GI98" s="102"/>
      <c r="GJ98" s="102"/>
      <c r="GK98" s="102"/>
      <c r="GL98" s="102"/>
      <c r="GM98" s="102"/>
      <c r="GN98" s="102"/>
      <c r="GO98" s="102"/>
      <c r="GP98" s="102"/>
      <c r="GQ98" s="102"/>
      <c r="GR98" s="102"/>
      <c r="GS98" s="102"/>
      <c r="GT98" s="102"/>
      <c r="GU98" s="102"/>
      <c r="GV98" s="102"/>
      <c r="GW98" s="102"/>
      <c r="GX98" s="102"/>
      <c r="GY98" s="102"/>
      <c r="GZ98" s="102"/>
      <c r="HA98" s="102"/>
      <c r="HB98" s="102"/>
      <c r="HC98" s="102"/>
      <c r="HD98" s="102"/>
      <c r="HE98" s="102"/>
      <c r="HF98" s="102"/>
      <c r="HG98" s="102"/>
      <c r="HH98" s="102"/>
      <c r="HI98" s="102"/>
      <c r="HJ98" s="102"/>
      <c r="HK98" s="102"/>
      <c r="HL98" s="102"/>
      <c r="HM98" s="102"/>
      <c r="HN98" s="102"/>
      <c r="HO98" s="102"/>
      <c r="HP98" s="102"/>
      <c r="HQ98" s="102"/>
      <c r="HR98" s="102"/>
      <c r="HS98" s="102"/>
      <c r="HT98" s="102"/>
      <c r="HU98" s="102"/>
      <c r="HV98" s="102"/>
      <c r="HW98" s="102"/>
      <c r="HX98" s="102"/>
      <c r="HY98" s="102"/>
      <c r="HZ98" s="102"/>
      <c r="IA98" s="102"/>
      <c r="IB98" s="102"/>
      <c r="IC98" s="102"/>
      <c r="ID98" s="102"/>
      <c r="IE98" s="102"/>
      <c r="IF98" s="102"/>
      <c r="IG98" s="102"/>
      <c r="IH98" s="102"/>
      <c r="II98" s="102"/>
      <c r="IJ98" s="102"/>
      <c r="IK98" s="102"/>
      <c r="IL98" s="102"/>
      <c r="IM98" s="102"/>
      <c r="IN98" s="102"/>
      <c r="IO98" s="102"/>
      <c r="IP98" s="102"/>
      <c r="IQ98" s="102"/>
      <c r="IR98" s="102"/>
      <c r="IS98" s="102"/>
      <c r="IT98" s="102"/>
      <c r="IU98" s="102"/>
      <c r="IV98" s="102"/>
      <c r="IW98" s="102"/>
      <c r="IX98" s="102"/>
      <c r="IY98" s="102"/>
      <c r="IZ98" s="102"/>
      <c r="JA98" s="102"/>
      <c r="JB98" s="102"/>
      <c r="JC98" s="102"/>
      <c r="JD98" s="102"/>
      <c r="JE98" s="102"/>
      <c r="JF98" s="102"/>
      <c r="JG98" s="102"/>
      <c r="JH98" s="102"/>
      <c r="JI98" s="102"/>
      <c r="JJ98" s="102"/>
      <c r="JK98" s="102"/>
      <c r="JL98" s="102"/>
      <c r="JM98" s="102"/>
      <c r="JN98" s="102"/>
      <c r="JO98" s="102"/>
      <c r="JP98" s="102"/>
      <c r="JQ98" s="102"/>
      <c r="JR98" s="102"/>
      <c r="JS98" s="102"/>
      <c r="JT98" s="102"/>
      <c r="JU98" s="102"/>
      <c r="JV98" s="102"/>
      <c r="JW98" s="102"/>
      <c r="JX98" s="102"/>
      <c r="JY98" s="102"/>
      <c r="JZ98" s="102"/>
      <c r="KA98" s="102"/>
      <c r="KB98" s="102"/>
      <c r="KC98" s="102"/>
      <c r="KD98" s="102"/>
      <c r="KE98" s="102"/>
      <c r="KF98" s="102"/>
      <c r="KG98" s="102"/>
      <c r="KH98" s="102"/>
      <c r="KI98" s="102"/>
      <c r="KJ98" s="102"/>
      <c r="KK98" s="102"/>
      <c r="KL98" s="102"/>
      <c r="KM98" s="102"/>
      <c r="KN98" s="102"/>
      <c r="KO98" s="102"/>
      <c r="KP98" s="102"/>
      <c r="KQ98" s="102"/>
      <c r="KR98" s="102"/>
      <c r="KS98" s="102"/>
      <c r="KT98" s="102"/>
      <c r="KU98" s="102"/>
      <c r="KV98" s="102"/>
      <c r="KW98" s="102"/>
      <c r="KX98" s="102"/>
      <c r="KY98" s="102"/>
      <c r="KZ98" s="102"/>
      <c r="LA98" s="102"/>
      <c r="LB98" s="102"/>
      <c r="LC98" s="102"/>
      <c r="LD98" s="102"/>
      <c r="LE98" s="102"/>
      <c r="LF98" s="102"/>
      <c r="LG98" s="102"/>
      <c r="LH98" s="102"/>
      <c r="LI98" s="102"/>
      <c r="LJ98" s="102"/>
      <c r="LK98" s="102"/>
      <c r="LL98" s="102"/>
      <c r="LM98" s="102"/>
      <c r="LN98" s="102"/>
      <c r="LO98" s="102"/>
      <c r="LP98" s="102"/>
      <c r="LQ98" s="102"/>
      <c r="LR98" s="102"/>
      <c r="LS98" s="102"/>
      <c r="LT98" s="102"/>
      <c r="LU98" s="102"/>
      <c r="LV98" s="102"/>
      <c r="LW98" s="102"/>
      <c r="LX98" s="102"/>
      <c r="LY98" s="102"/>
    </row>
    <row r="99" ht="15" customHeight="1">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c r="EO99" s="102"/>
      <c r="EP99" s="102"/>
      <c r="EQ99" s="102"/>
      <c r="ER99" s="102"/>
      <c r="ES99" s="102"/>
      <c r="ET99" s="102"/>
      <c r="EU99" s="102"/>
      <c r="EV99" s="102"/>
      <c r="EW99" s="102"/>
      <c r="EX99" s="102"/>
      <c r="EY99" s="102"/>
      <c r="EZ99" s="102"/>
      <c r="FA99" s="102"/>
      <c r="FB99" s="102"/>
      <c r="FC99" s="102"/>
      <c r="FD99" s="102"/>
      <c r="FE99" s="102"/>
      <c r="FF99" s="102"/>
      <c r="FG99" s="102"/>
      <c r="FH99" s="102"/>
      <c r="FI99" s="102"/>
      <c r="FJ99" s="102"/>
      <c r="FK99" s="102"/>
      <c r="FL99" s="102"/>
      <c r="FM99" s="102"/>
      <c r="FN99" s="102"/>
      <c r="FO99" s="102"/>
      <c r="FP99" s="102"/>
      <c r="FQ99" s="102"/>
      <c r="FR99" s="102"/>
      <c r="FS99" s="102"/>
      <c r="FT99" s="102"/>
      <c r="FU99" s="102"/>
      <c r="FV99" s="102"/>
      <c r="FW99" s="102"/>
      <c r="FX99" s="102"/>
      <c r="FY99" s="102"/>
      <c r="FZ99" s="102"/>
      <c r="GA99" s="102"/>
      <c r="GB99" s="102"/>
      <c r="GC99" s="102"/>
      <c r="GD99" s="102"/>
      <c r="GE99" s="102"/>
      <c r="GF99" s="102"/>
      <c r="GG99" s="102"/>
      <c r="GH99" s="102"/>
      <c r="GI99" s="102"/>
      <c r="GJ99" s="102"/>
      <c r="GK99" s="102"/>
      <c r="GL99" s="102"/>
      <c r="GM99" s="102"/>
      <c r="GN99" s="102"/>
      <c r="GO99" s="102"/>
      <c r="GP99" s="102"/>
      <c r="GQ99" s="102"/>
      <c r="GR99" s="102"/>
      <c r="GS99" s="102"/>
      <c r="GT99" s="102"/>
      <c r="GU99" s="102"/>
      <c r="GV99" s="102"/>
      <c r="GW99" s="102"/>
      <c r="GX99" s="102"/>
      <c r="GY99" s="102"/>
      <c r="GZ99" s="102"/>
      <c r="HA99" s="102"/>
      <c r="HB99" s="102"/>
      <c r="HC99" s="102"/>
      <c r="HD99" s="102"/>
      <c r="HE99" s="102"/>
      <c r="HF99" s="102"/>
      <c r="HG99" s="102"/>
      <c r="HH99" s="102"/>
      <c r="HI99" s="102"/>
      <c r="HJ99" s="102"/>
      <c r="HK99" s="102"/>
      <c r="HL99" s="102"/>
      <c r="HM99" s="102"/>
      <c r="HN99" s="102"/>
      <c r="HO99" s="102"/>
      <c r="HP99" s="102"/>
      <c r="HQ99" s="102"/>
      <c r="HR99" s="102"/>
      <c r="HS99" s="102"/>
      <c r="HT99" s="102"/>
      <c r="HU99" s="102"/>
      <c r="HV99" s="102"/>
      <c r="HW99" s="102"/>
      <c r="HX99" s="102"/>
      <c r="HY99" s="102"/>
      <c r="HZ99" s="102"/>
      <c r="IA99" s="102"/>
      <c r="IB99" s="102"/>
      <c r="IC99" s="102"/>
      <c r="ID99" s="102"/>
      <c r="IE99" s="102"/>
      <c r="IF99" s="102"/>
      <c r="IG99" s="102"/>
      <c r="IH99" s="102"/>
      <c r="II99" s="102"/>
      <c r="IJ99" s="102"/>
      <c r="IK99" s="102"/>
      <c r="IL99" s="102"/>
      <c r="IM99" s="102"/>
      <c r="IN99" s="102"/>
      <c r="IO99" s="102"/>
      <c r="IP99" s="102"/>
      <c r="IQ99" s="102"/>
      <c r="IR99" s="102"/>
      <c r="IS99" s="102"/>
      <c r="IT99" s="102"/>
      <c r="IU99" s="102"/>
      <c r="IV99" s="102"/>
      <c r="IW99" s="102"/>
      <c r="IX99" s="102"/>
      <c r="IY99" s="102"/>
      <c r="IZ99" s="102"/>
      <c r="JA99" s="102"/>
      <c r="JB99" s="102"/>
      <c r="JC99" s="102"/>
      <c r="JD99" s="102"/>
      <c r="JE99" s="102"/>
      <c r="JF99" s="102"/>
      <c r="JG99" s="102"/>
      <c r="JH99" s="102"/>
      <c r="JI99" s="102"/>
      <c r="JJ99" s="102"/>
      <c r="JK99" s="102"/>
      <c r="JL99" s="102"/>
      <c r="JM99" s="102"/>
      <c r="JN99" s="102"/>
      <c r="JO99" s="102"/>
      <c r="JP99" s="102"/>
      <c r="JQ99" s="102"/>
      <c r="JR99" s="102"/>
      <c r="JS99" s="102"/>
      <c r="JT99" s="102"/>
      <c r="JU99" s="102"/>
      <c r="JV99" s="102"/>
      <c r="JW99" s="102"/>
      <c r="JX99" s="102"/>
      <c r="JY99" s="102"/>
      <c r="JZ99" s="102"/>
      <c r="KA99" s="102"/>
      <c r="KB99" s="102"/>
      <c r="KC99" s="102"/>
      <c r="KD99" s="102"/>
      <c r="KE99" s="102"/>
      <c r="KF99" s="102"/>
      <c r="KG99" s="102"/>
      <c r="KH99" s="102"/>
      <c r="KI99" s="102"/>
      <c r="KJ99" s="102"/>
      <c r="KK99" s="102"/>
      <c r="KL99" s="102"/>
      <c r="KM99" s="102"/>
      <c r="KN99" s="102"/>
      <c r="KO99" s="102"/>
      <c r="KP99" s="102"/>
      <c r="KQ99" s="102"/>
      <c r="KR99" s="102"/>
      <c r="KS99" s="102"/>
      <c r="KT99" s="102"/>
      <c r="KU99" s="102"/>
      <c r="KV99" s="102"/>
      <c r="KW99" s="102"/>
      <c r="KX99" s="102"/>
      <c r="KY99" s="102"/>
      <c r="KZ99" s="102"/>
      <c r="LA99" s="102"/>
      <c r="LB99" s="102"/>
      <c r="LC99" s="102"/>
      <c r="LD99" s="102"/>
      <c r="LE99" s="102"/>
      <c r="LF99" s="102"/>
      <c r="LG99" s="102"/>
      <c r="LH99" s="102"/>
      <c r="LI99" s="102"/>
      <c r="LJ99" s="102"/>
      <c r="LK99" s="102"/>
      <c r="LL99" s="102"/>
      <c r="LM99" s="102"/>
      <c r="LN99" s="102"/>
      <c r="LO99" s="102"/>
      <c r="LP99" s="102"/>
      <c r="LQ99" s="102"/>
      <c r="LR99" s="102"/>
      <c r="LS99" s="102"/>
      <c r="LT99" s="102"/>
      <c r="LU99" s="102"/>
      <c r="LV99" s="102"/>
      <c r="LW99" s="102"/>
      <c r="LX99" s="102"/>
      <c r="LY99" s="102"/>
    </row>
    <row r="100" ht="15" customHeight="1">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c r="EO100" s="102"/>
      <c r="EP100" s="102"/>
      <c r="EQ100" s="102"/>
      <c r="ER100" s="102"/>
      <c r="ES100" s="102"/>
      <c r="ET100" s="102"/>
      <c r="EU100" s="102"/>
      <c r="EV100" s="102"/>
      <c r="EW100" s="102"/>
      <c r="EX100" s="102"/>
      <c r="EY100" s="102"/>
      <c r="EZ100" s="102"/>
      <c r="FA100" s="102"/>
      <c r="FB100" s="102"/>
      <c r="FC100" s="102"/>
      <c r="FD100" s="102"/>
      <c r="FE100" s="102"/>
      <c r="FF100" s="102"/>
      <c r="FG100" s="102"/>
      <c r="FH100" s="102"/>
      <c r="FI100" s="102"/>
      <c r="FJ100" s="102"/>
      <c r="FK100" s="102"/>
      <c r="FL100" s="102"/>
      <c r="FM100" s="102"/>
      <c r="FN100" s="102"/>
      <c r="FO100" s="102"/>
      <c r="FP100" s="102"/>
      <c r="FQ100" s="102"/>
      <c r="FR100" s="102"/>
      <c r="FS100" s="102"/>
      <c r="FT100" s="102"/>
      <c r="FU100" s="102"/>
      <c r="FV100" s="102"/>
      <c r="FW100" s="102"/>
      <c r="FX100" s="102"/>
      <c r="FY100" s="102"/>
      <c r="FZ100" s="102"/>
      <c r="GA100" s="102"/>
      <c r="GB100" s="102"/>
      <c r="GC100" s="102"/>
      <c r="GD100" s="102"/>
      <c r="GE100" s="102"/>
      <c r="GF100" s="102"/>
      <c r="GG100" s="102"/>
      <c r="GH100" s="102"/>
      <c r="GI100" s="102"/>
      <c r="GJ100" s="102"/>
      <c r="GK100" s="102"/>
      <c r="GL100" s="102"/>
      <c r="GM100" s="102"/>
      <c r="GN100" s="102"/>
      <c r="GO100" s="102"/>
      <c r="GP100" s="102"/>
      <c r="GQ100" s="102"/>
      <c r="GR100" s="102"/>
      <c r="GS100" s="102"/>
      <c r="GT100" s="102"/>
      <c r="GU100" s="102"/>
      <c r="GV100" s="102"/>
      <c r="GW100" s="102"/>
      <c r="GX100" s="102"/>
      <c r="GY100" s="102"/>
      <c r="GZ100" s="102"/>
      <c r="HA100" s="102"/>
      <c r="HB100" s="102"/>
      <c r="HC100" s="102"/>
      <c r="HD100" s="102"/>
      <c r="HE100" s="102"/>
      <c r="HF100" s="102"/>
      <c r="HG100" s="102"/>
      <c r="HH100" s="102"/>
      <c r="HI100" s="102"/>
      <c r="HJ100" s="102"/>
      <c r="HK100" s="102"/>
      <c r="HL100" s="102"/>
      <c r="HM100" s="102"/>
      <c r="HN100" s="102"/>
      <c r="HO100" s="102"/>
      <c r="HP100" s="102"/>
      <c r="HQ100" s="102"/>
      <c r="HR100" s="102"/>
      <c r="HS100" s="102"/>
      <c r="HT100" s="102"/>
      <c r="HU100" s="102"/>
      <c r="HV100" s="102"/>
      <c r="HW100" s="102"/>
      <c r="HX100" s="102"/>
      <c r="HY100" s="102"/>
      <c r="HZ100" s="102"/>
      <c r="IA100" s="102"/>
      <c r="IB100" s="102"/>
      <c r="IC100" s="102"/>
      <c r="ID100" s="102"/>
      <c r="IE100" s="102"/>
      <c r="IF100" s="102"/>
      <c r="IG100" s="102"/>
      <c r="IH100" s="102"/>
      <c r="II100" s="102"/>
      <c r="IJ100" s="102"/>
      <c r="IK100" s="102"/>
      <c r="IL100" s="102"/>
      <c r="IM100" s="102"/>
      <c r="IN100" s="102"/>
      <c r="IO100" s="102"/>
      <c r="IP100" s="102"/>
      <c r="IQ100" s="102"/>
      <c r="IR100" s="102"/>
      <c r="IS100" s="102"/>
      <c r="IT100" s="102"/>
      <c r="IU100" s="102"/>
      <c r="IV100" s="102"/>
      <c r="IW100" s="102"/>
      <c r="IX100" s="102"/>
      <c r="IY100" s="102"/>
      <c r="IZ100" s="102"/>
      <c r="JA100" s="102"/>
      <c r="JB100" s="102"/>
      <c r="JC100" s="102"/>
      <c r="JD100" s="102"/>
      <c r="JE100" s="102"/>
      <c r="JF100" s="102"/>
      <c r="JG100" s="102"/>
      <c r="JH100" s="102"/>
      <c r="JI100" s="102"/>
      <c r="JJ100" s="102"/>
      <c r="JK100" s="102"/>
      <c r="JL100" s="102"/>
      <c r="JM100" s="102"/>
      <c r="JN100" s="102"/>
      <c r="JO100" s="102"/>
      <c r="JP100" s="102"/>
      <c r="JQ100" s="102"/>
      <c r="JR100" s="102"/>
      <c r="JS100" s="102"/>
      <c r="JT100" s="102"/>
      <c r="JU100" s="102"/>
      <c r="JV100" s="102"/>
      <c r="JW100" s="102"/>
      <c r="JX100" s="102"/>
      <c r="JY100" s="102"/>
      <c r="JZ100" s="102"/>
      <c r="KA100" s="102"/>
      <c r="KB100" s="102"/>
      <c r="KC100" s="102"/>
      <c r="KD100" s="102"/>
      <c r="KE100" s="102"/>
      <c r="KF100" s="102"/>
      <c r="KG100" s="102"/>
      <c r="KH100" s="102"/>
      <c r="KI100" s="102"/>
      <c r="KJ100" s="102"/>
      <c r="KK100" s="102"/>
      <c r="KL100" s="102"/>
      <c r="KM100" s="102"/>
      <c r="KN100" s="102"/>
      <c r="KO100" s="102"/>
      <c r="KP100" s="102"/>
      <c r="KQ100" s="102"/>
      <c r="KR100" s="102"/>
      <c r="KS100" s="102"/>
      <c r="KT100" s="102"/>
      <c r="KU100" s="102"/>
      <c r="KV100" s="102"/>
      <c r="KW100" s="102"/>
      <c r="KX100" s="102"/>
      <c r="KY100" s="102"/>
      <c r="KZ100" s="102"/>
      <c r="LA100" s="102"/>
      <c r="LB100" s="102"/>
      <c r="LC100" s="102"/>
      <c r="LD100" s="102"/>
      <c r="LE100" s="102"/>
      <c r="LF100" s="102"/>
      <c r="LG100" s="102"/>
      <c r="LH100" s="102"/>
      <c r="LI100" s="102"/>
      <c r="LJ100" s="102"/>
      <c r="LK100" s="102"/>
      <c r="LL100" s="102"/>
      <c r="LM100" s="102"/>
      <c r="LN100" s="102"/>
      <c r="LO100" s="102"/>
      <c r="LP100" s="102"/>
      <c r="LQ100" s="102"/>
      <c r="LR100" s="102"/>
      <c r="LS100" s="102"/>
      <c r="LT100" s="102"/>
      <c r="LU100" s="102"/>
      <c r="LV100" s="102"/>
      <c r="LW100" s="102"/>
      <c r="LX100" s="102"/>
      <c r="LY100" s="102"/>
    </row>
    <row r="101" ht="15" customHeight="1">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c r="EO101" s="102"/>
      <c r="EP101" s="102"/>
      <c r="EQ101" s="102"/>
      <c r="ER101" s="102"/>
      <c r="ES101" s="102"/>
      <c r="ET101" s="102"/>
      <c r="EU101" s="102"/>
      <c r="EV101" s="102"/>
      <c r="EW101" s="102"/>
      <c r="EX101" s="102"/>
      <c r="EY101" s="102"/>
      <c r="EZ101" s="102"/>
      <c r="FA101" s="102"/>
      <c r="FB101" s="102"/>
      <c r="FC101" s="102"/>
      <c r="FD101" s="102"/>
      <c r="FE101" s="102"/>
      <c r="FF101" s="102"/>
      <c r="FG101" s="102"/>
      <c r="FH101" s="102"/>
      <c r="FI101" s="102"/>
      <c r="FJ101" s="102"/>
      <c r="FK101" s="102"/>
      <c r="FL101" s="102"/>
      <c r="FM101" s="102"/>
      <c r="FN101" s="102"/>
      <c r="FO101" s="102"/>
      <c r="FP101" s="102"/>
      <c r="FQ101" s="102"/>
      <c r="FR101" s="102"/>
      <c r="FS101" s="102"/>
      <c r="FT101" s="102"/>
      <c r="FU101" s="102"/>
      <c r="FV101" s="102"/>
      <c r="FW101" s="102"/>
      <c r="FX101" s="102"/>
      <c r="FY101" s="102"/>
      <c r="FZ101" s="102"/>
      <c r="GA101" s="102"/>
      <c r="GB101" s="102"/>
      <c r="GC101" s="102"/>
      <c r="GD101" s="102"/>
      <c r="GE101" s="102"/>
      <c r="GF101" s="102"/>
      <c r="GG101" s="102"/>
      <c r="GH101" s="102"/>
      <c r="GI101" s="102"/>
      <c r="GJ101" s="102"/>
      <c r="GK101" s="102"/>
      <c r="GL101" s="102"/>
      <c r="GM101" s="102"/>
      <c r="GN101" s="102"/>
      <c r="GO101" s="102"/>
      <c r="GP101" s="102"/>
      <c r="GQ101" s="102"/>
      <c r="GR101" s="102"/>
      <c r="GS101" s="102"/>
      <c r="GT101" s="102"/>
      <c r="GU101" s="102"/>
      <c r="GV101" s="102"/>
      <c r="GW101" s="102"/>
      <c r="GX101" s="102"/>
      <c r="GY101" s="102"/>
      <c r="GZ101" s="102"/>
      <c r="HA101" s="102"/>
      <c r="HB101" s="102"/>
      <c r="HC101" s="102"/>
      <c r="HD101" s="102"/>
      <c r="HE101" s="102"/>
      <c r="HF101" s="102"/>
      <c r="HG101" s="102"/>
      <c r="HH101" s="102"/>
      <c r="HI101" s="102"/>
      <c r="HJ101" s="102"/>
      <c r="HK101" s="102"/>
      <c r="HL101" s="102"/>
      <c r="HM101" s="102"/>
      <c r="HN101" s="102"/>
      <c r="HO101" s="102"/>
      <c r="HP101" s="102"/>
      <c r="HQ101" s="102"/>
      <c r="HR101" s="102"/>
      <c r="HS101" s="102"/>
      <c r="HT101" s="102"/>
      <c r="HU101" s="102"/>
      <c r="HV101" s="102"/>
      <c r="HW101" s="102"/>
      <c r="HX101" s="102"/>
      <c r="HY101" s="102"/>
      <c r="HZ101" s="102"/>
      <c r="IA101" s="102"/>
      <c r="IB101" s="102"/>
      <c r="IC101" s="102"/>
      <c r="ID101" s="102"/>
      <c r="IE101" s="102"/>
      <c r="IF101" s="102"/>
      <c r="IG101" s="102"/>
      <c r="IH101" s="102"/>
      <c r="II101" s="102"/>
      <c r="IJ101" s="102"/>
      <c r="IK101" s="102"/>
      <c r="IL101" s="102"/>
      <c r="IM101" s="102"/>
      <c r="IN101" s="102"/>
      <c r="IO101" s="102"/>
      <c r="IP101" s="102"/>
      <c r="IQ101" s="102"/>
      <c r="IR101" s="102"/>
      <c r="IS101" s="102"/>
      <c r="IT101" s="102"/>
      <c r="IU101" s="102"/>
      <c r="IV101" s="102"/>
      <c r="IW101" s="102"/>
      <c r="IX101" s="102"/>
      <c r="IY101" s="102"/>
      <c r="IZ101" s="102"/>
      <c r="JA101" s="102"/>
      <c r="JB101" s="102"/>
      <c r="JC101" s="102"/>
      <c r="JD101" s="102"/>
      <c r="JE101" s="102"/>
      <c r="JF101" s="102"/>
      <c r="JG101" s="102"/>
      <c r="JH101" s="102"/>
      <c r="JI101" s="102"/>
      <c r="JJ101" s="102"/>
      <c r="JK101" s="102"/>
      <c r="JL101" s="102"/>
      <c r="JM101" s="102"/>
      <c r="JN101" s="102"/>
      <c r="JO101" s="102"/>
      <c r="JP101" s="102"/>
      <c r="JQ101" s="102"/>
      <c r="JR101" s="102"/>
      <c r="JS101" s="102"/>
      <c r="JT101" s="102"/>
      <c r="JU101" s="102"/>
      <c r="JV101" s="102"/>
      <c r="JW101" s="102"/>
      <c r="JX101" s="102"/>
      <c r="JY101" s="102"/>
      <c r="JZ101" s="102"/>
      <c r="KA101" s="102"/>
      <c r="KB101" s="102"/>
      <c r="KC101" s="102"/>
      <c r="KD101" s="102"/>
      <c r="KE101" s="102"/>
      <c r="KF101" s="102"/>
      <c r="KG101" s="102"/>
      <c r="KH101" s="102"/>
      <c r="KI101" s="102"/>
      <c r="KJ101" s="102"/>
      <c r="KK101" s="102"/>
      <c r="KL101" s="102"/>
      <c r="KM101" s="102"/>
      <c r="KN101" s="102"/>
      <c r="KO101" s="102"/>
      <c r="KP101" s="102"/>
      <c r="KQ101" s="102"/>
      <c r="KR101" s="102"/>
      <c r="KS101" s="102"/>
      <c r="KT101" s="102"/>
      <c r="KU101" s="102"/>
      <c r="KV101" s="102"/>
      <c r="KW101" s="102"/>
      <c r="KX101" s="102"/>
      <c r="KY101" s="102"/>
      <c r="KZ101" s="102"/>
      <c r="LA101" s="102"/>
      <c r="LB101" s="102"/>
      <c r="LC101" s="102"/>
      <c r="LD101" s="102"/>
      <c r="LE101" s="102"/>
      <c r="LF101" s="102"/>
      <c r="LG101" s="102"/>
      <c r="LH101" s="102"/>
      <c r="LI101" s="102"/>
      <c r="LJ101" s="102"/>
      <c r="LK101" s="102"/>
      <c r="LL101" s="102"/>
      <c r="LM101" s="102"/>
      <c r="LN101" s="102"/>
      <c r="LO101" s="102"/>
      <c r="LP101" s="102"/>
      <c r="LQ101" s="102"/>
      <c r="LR101" s="102"/>
      <c r="LS101" s="102"/>
      <c r="LT101" s="102"/>
      <c r="LU101" s="102"/>
      <c r="LV101" s="102"/>
      <c r="LW101" s="102"/>
      <c r="LX101" s="102"/>
      <c r="LY101" s="102"/>
    </row>
    <row r="102" ht="15" customHeight="1">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c r="EO102" s="102"/>
      <c r="EP102" s="102"/>
      <c r="EQ102" s="102"/>
      <c r="ER102" s="102"/>
      <c r="ES102" s="102"/>
      <c r="ET102" s="102"/>
      <c r="EU102" s="102"/>
      <c r="EV102" s="102"/>
      <c r="EW102" s="102"/>
      <c r="EX102" s="102"/>
      <c r="EY102" s="102"/>
      <c r="EZ102" s="102"/>
      <c r="FA102" s="102"/>
      <c r="FB102" s="102"/>
      <c r="FC102" s="102"/>
      <c r="FD102" s="102"/>
      <c r="FE102" s="102"/>
      <c r="FF102" s="102"/>
      <c r="FG102" s="102"/>
      <c r="FH102" s="102"/>
      <c r="FI102" s="102"/>
      <c r="FJ102" s="102"/>
      <c r="FK102" s="102"/>
      <c r="FL102" s="102"/>
      <c r="FM102" s="102"/>
      <c r="FN102" s="102"/>
      <c r="FO102" s="102"/>
      <c r="FP102" s="102"/>
      <c r="FQ102" s="102"/>
      <c r="FR102" s="102"/>
      <c r="FS102" s="102"/>
      <c r="FT102" s="102"/>
      <c r="FU102" s="102"/>
      <c r="FV102" s="102"/>
      <c r="FW102" s="102"/>
      <c r="FX102" s="102"/>
      <c r="FY102" s="102"/>
      <c r="FZ102" s="102"/>
      <c r="GA102" s="102"/>
      <c r="GB102" s="102"/>
      <c r="GC102" s="102"/>
      <c r="GD102" s="102"/>
      <c r="GE102" s="102"/>
      <c r="GF102" s="102"/>
      <c r="GG102" s="102"/>
      <c r="GH102" s="102"/>
      <c r="GI102" s="102"/>
      <c r="GJ102" s="102"/>
      <c r="GK102" s="102"/>
      <c r="GL102" s="102"/>
      <c r="GM102" s="102"/>
      <c r="GN102" s="102"/>
      <c r="GO102" s="102"/>
      <c r="GP102" s="102"/>
      <c r="GQ102" s="102"/>
      <c r="GR102" s="102"/>
      <c r="GS102" s="102"/>
      <c r="GT102" s="102"/>
      <c r="GU102" s="102"/>
      <c r="GV102" s="102"/>
      <c r="GW102" s="102"/>
      <c r="GX102" s="102"/>
      <c r="GY102" s="102"/>
      <c r="GZ102" s="102"/>
      <c r="HA102" s="102"/>
      <c r="HB102" s="102"/>
      <c r="HC102" s="102"/>
      <c r="HD102" s="102"/>
      <c r="HE102" s="102"/>
      <c r="HF102" s="102"/>
      <c r="HG102" s="102"/>
      <c r="HH102" s="102"/>
      <c r="HI102" s="102"/>
      <c r="HJ102" s="102"/>
      <c r="HK102" s="102"/>
      <c r="HL102" s="102"/>
      <c r="HM102" s="102"/>
      <c r="HN102" s="102"/>
      <c r="HO102" s="102"/>
      <c r="HP102" s="102"/>
      <c r="HQ102" s="102"/>
      <c r="HR102" s="102"/>
      <c r="HS102" s="102"/>
      <c r="HT102" s="102"/>
      <c r="HU102" s="102"/>
      <c r="HV102" s="102"/>
      <c r="HW102" s="102"/>
      <c r="HX102" s="102"/>
      <c r="HY102" s="102"/>
      <c r="HZ102" s="102"/>
      <c r="IA102" s="102"/>
      <c r="IB102" s="102"/>
      <c r="IC102" s="102"/>
      <c r="ID102" s="102"/>
      <c r="IE102" s="102"/>
      <c r="IF102" s="102"/>
      <c r="IG102" s="102"/>
      <c r="IH102" s="102"/>
      <c r="II102" s="102"/>
      <c r="IJ102" s="102"/>
      <c r="IK102" s="102"/>
      <c r="IL102" s="102"/>
      <c r="IM102" s="102"/>
      <c r="IN102" s="102"/>
      <c r="IO102" s="102"/>
      <c r="IP102" s="102"/>
      <c r="IQ102" s="102"/>
      <c r="IR102" s="102"/>
      <c r="IS102" s="102"/>
      <c r="IT102" s="102"/>
      <c r="IU102" s="102"/>
      <c r="IV102" s="102"/>
      <c r="IW102" s="102"/>
      <c r="IX102" s="102"/>
      <c r="IY102" s="102"/>
      <c r="IZ102" s="102"/>
      <c r="JA102" s="102"/>
      <c r="JB102" s="102"/>
      <c r="JC102" s="102"/>
      <c r="JD102" s="102"/>
      <c r="JE102" s="102"/>
      <c r="JF102" s="102"/>
      <c r="JG102" s="102"/>
      <c r="JH102" s="102"/>
      <c r="JI102" s="102"/>
      <c r="JJ102" s="102"/>
      <c r="JK102" s="102"/>
      <c r="JL102" s="102"/>
      <c r="JM102" s="102"/>
      <c r="JN102" s="102"/>
      <c r="JO102" s="102"/>
      <c r="JP102" s="102"/>
      <c r="JQ102" s="102"/>
      <c r="JR102" s="102"/>
      <c r="JS102" s="102"/>
      <c r="JT102" s="102"/>
      <c r="JU102" s="102"/>
      <c r="JV102" s="102"/>
      <c r="JW102" s="102"/>
      <c r="JX102" s="102"/>
      <c r="JY102" s="102"/>
      <c r="JZ102" s="102"/>
      <c r="KA102" s="102"/>
      <c r="KB102" s="102"/>
      <c r="KC102" s="102"/>
      <c r="KD102" s="102"/>
      <c r="KE102" s="102"/>
      <c r="KF102" s="102"/>
      <c r="KG102" s="102"/>
      <c r="KH102" s="102"/>
      <c r="KI102" s="102"/>
      <c r="KJ102" s="102"/>
      <c r="KK102" s="102"/>
      <c r="KL102" s="102"/>
      <c r="KM102" s="102"/>
      <c r="KN102" s="102"/>
      <c r="KO102" s="102"/>
      <c r="KP102" s="102"/>
      <c r="KQ102" s="102"/>
      <c r="KR102" s="102"/>
      <c r="KS102" s="102"/>
      <c r="KT102" s="102"/>
      <c r="KU102" s="102"/>
      <c r="KV102" s="102"/>
      <c r="KW102" s="102"/>
      <c r="KX102" s="102"/>
      <c r="KY102" s="102"/>
      <c r="KZ102" s="102"/>
      <c r="LA102" s="102"/>
      <c r="LB102" s="102"/>
      <c r="LC102" s="102"/>
      <c r="LD102" s="102"/>
      <c r="LE102" s="102"/>
      <c r="LF102" s="102"/>
      <c r="LG102" s="102"/>
      <c r="LH102" s="102"/>
      <c r="LI102" s="102"/>
      <c r="LJ102" s="102"/>
      <c r="LK102" s="102"/>
      <c r="LL102" s="102"/>
      <c r="LM102" s="102"/>
      <c r="LN102" s="102"/>
      <c r="LO102" s="102"/>
      <c r="LP102" s="102"/>
      <c r="LQ102" s="102"/>
      <c r="LR102" s="102"/>
      <c r="LS102" s="102"/>
      <c r="LT102" s="102"/>
      <c r="LU102" s="102"/>
      <c r="LV102" s="102"/>
      <c r="LW102" s="102"/>
      <c r="LX102" s="102"/>
      <c r="LY102" s="102"/>
    </row>
    <row r="103" ht="15" customHeight="1">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c r="EO103" s="102"/>
      <c r="EP103" s="102"/>
      <c r="EQ103" s="102"/>
      <c r="ER103" s="102"/>
      <c r="ES103" s="102"/>
      <c r="ET103" s="102"/>
      <c r="EU103" s="102"/>
      <c r="EV103" s="102"/>
      <c r="EW103" s="102"/>
      <c r="EX103" s="102"/>
      <c r="EY103" s="102"/>
      <c r="EZ103" s="102"/>
      <c r="FA103" s="102"/>
      <c r="FB103" s="102"/>
      <c r="FC103" s="102"/>
      <c r="FD103" s="102"/>
      <c r="FE103" s="102"/>
      <c r="FF103" s="102"/>
      <c r="FG103" s="102"/>
      <c r="FH103" s="102"/>
      <c r="FI103" s="102"/>
      <c r="FJ103" s="102"/>
      <c r="FK103" s="102"/>
      <c r="FL103" s="102"/>
      <c r="FM103" s="102"/>
      <c r="FN103" s="102"/>
      <c r="FO103" s="102"/>
      <c r="FP103" s="102"/>
      <c r="FQ103" s="102"/>
      <c r="FR103" s="102"/>
      <c r="FS103" s="102"/>
      <c r="FT103" s="102"/>
      <c r="FU103" s="102"/>
      <c r="FV103" s="102"/>
      <c r="FW103" s="102"/>
      <c r="FX103" s="102"/>
      <c r="FY103" s="102"/>
      <c r="FZ103" s="102"/>
      <c r="GA103" s="102"/>
      <c r="GB103" s="102"/>
      <c r="GC103" s="102"/>
      <c r="GD103" s="102"/>
      <c r="GE103" s="102"/>
      <c r="GF103" s="102"/>
      <c r="GG103" s="102"/>
      <c r="GH103" s="102"/>
      <c r="GI103" s="102"/>
      <c r="GJ103" s="102"/>
      <c r="GK103" s="102"/>
      <c r="GL103" s="102"/>
      <c r="GM103" s="102"/>
      <c r="GN103" s="102"/>
      <c r="GO103" s="102"/>
      <c r="GP103" s="102"/>
      <c r="GQ103" s="102"/>
      <c r="GR103" s="102"/>
      <c r="GS103" s="102"/>
      <c r="GT103" s="102"/>
      <c r="GU103" s="102"/>
      <c r="GV103" s="102"/>
      <c r="GW103" s="102"/>
      <c r="GX103" s="102"/>
      <c r="GY103" s="102"/>
      <c r="GZ103" s="102"/>
      <c r="HA103" s="102"/>
      <c r="HB103" s="102"/>
      <c r="HC103" s="102"/>
      <c r="HD103" s="102"/>
      <c r="HE103" s="102"/>
      <c r="HF103" s="102"/>
      <c r="HG103" s="102"/>
      <c r="HH103" s="102"/>
      <c r="HI103" s="102"/>
      <c r="HJ103" s="102"/>
      <c r="HK103" s="102"/>
      <c r="HL103" s="102"/>
      <c r="HM103" s="102"/>
      <c r="HN103" s="102"/>
      <c r="HO103" s="102"/>
      <c r="HP103" s="102"/>
      <c r="HQ103" s="102"/>
      <c r="HR103" s="102"/>
      <c r="HS103" s="102"/>
      <c r="HT103" s="102"/>
      <c r="HU103" s="102"/>
      <c r="HV103" s="102"/>
      <c r="HW103" s="102"/>
      <c r="HX103" s="102"/>
      <c r="HY103" s="102"/>
      <c r="HZ103" s="102"/>
      <c r="IA103" s="102"/>
      <c r="IB103" s="102"/>
      <c r="IC103" s="102"/>
      <c r="ID103" s="102"/>
      <c r="IE103" s="102"/>
      <c r="IF103" s="102"/>
      <c r="IG103" s="102"/>
      <c r="IH103" s="102"/>
      <c r="II103" s="102"/>
      <c r="IJ103" s="102"/>
      <c r="IK103" s="102"/>
      <c r="IL103" s="102"/>
      <c r="IM103" s="102"/>
      <c r="IN103" s="102"/>
      <c r="IO103" s="102"/>
      <c r="IP103" s="102"/>
      <c r="IQ103" s="102"/>
      <c r="IR103" s="102"/>
      <c r="IS103" s="102"/>
      <c r="IT103" s="102"/>
      <c r="IU103" s="102"/>
      <c r="IV103" s="102"/>
      <c r="IW103" s="102"/>
      <c r="IX103" s="102"/>
      <c r="IY103" s="102"/>
      <c r="IZ103" s="102"/>
      <c r="JA103" s="102"/>
      <c r="JB103" s="102"/>
      <c r="JC103" s="102"/>
      <c r="JD103" s="102"/>
      <c r="JE103" s="102"/>
      <c r="JF103" s="102"/>
      <c r="JG103" s="102"/>
      <c r="JH103" s="102"/>
      <c r="JI103" s="102"/>
      <c r="JJ103" s="102"/>
      <c r="JK103" s="102"/>
      <c r="JL103" s="102"/>
      <c r="JM103" s="102"/>
      <c r="JN103" s="102"/>
      <c r="JO103" s="102"/>
      <c r="JP103" s="102"/>
      <c r="JQ103" s="102"/>
      <c r="JR103" s="102"/>
      <c r="JS103" s="102"/>
      <c r="JT103" s="102"/>
      <c r="JU103" s="102"/>
      <c r="JV103" s="102"/>
      <c r="JW103" s="102"/>
      <c r="JX103" s="102"/>
      <c r="JY103" s="102"/>
      <c r="JZ103" s="102"/>
      <c r="KA103" s="102"/>
      <c r="KB103" s="102"/>
      <c r="KC103" s="102"/>
      <c r="KD103" s="102"/>
      <c r="KE103" s="102"/>
      <c r="KF103" s="102"/>
      <c r="KG103" s="102"/>
      <c r="KH103" s="102"/>
      <c r="KI103" s="102"/>
      <c r="KJ103" s="102"/>
      <c r="KK103" s="102"/>
      <c r="KL103" s="102"/>
      <c r="KM103" s="102"/>
      <c r="KN103" s="102"/>
      <c r="KO103" s="102"/>
      <c r="KP103" s="102"/>
      <c r="KQ103" s="102"/>
      <c r="KR103" s="102"/>
      <c r="KS103" s="102"/>
      <c r="KT103" s="102"/>
      <c r="KU103" s="102"/>
      <c r="KV103" s="102"/>
      <c r="KW103" s="102"/>
      <c r="KX103" s="102"/>
      <c r="KY103" s="102"/>
      <c r="KZ103" s="102"/>
      <c r="LA103" s="102"/>
      <c r="LB103" s="102"/>
      <c r="LC103" s="102"/>
      <c r="LD103" s="102"/>
      <c r="LE103" s="102"/>
      <c r="LF103" s="102"/>
      <c r="LG103" s="102"/>
      <c r="LH103" s="102"/>
      <c r="LI103" s="102"/>
      <c r="LJ103" s="102"/>
      <c r="LK103" s="102"/>
      <c r="LL103" s="102"/>
      <c r="LM103" s="102"/>
      <c r="LN103" s="102"/>
      <c r="LO103" s="102"/>
      <c r="LP103" s="102"/>
      <c r="LQ103" s="102"/>
      <c r="LR103" s="102"/>
      <c r="LS103" s="102"/>
      <c r="LT103" s="102"/>
      <c r="LU103" s="102"/>
      <c r="LV103" s="102"/>
      <c r="LW103" s="102"/>
      <c r="LX103" s="102"/>
      <c r="LY103" s="102"/>
    </row>
    <row r="104" ht="15" customHeight="1">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c r="EO104" s="102"/>
      <c r="EP104" s="102"/>
      <c r="EQ104" s="102"/>
      <c r="ER104" s="102"/>
      <c r="ES104" s="102"/>
      <c r="ET104" s="102"/>
      <c r="EU104" s="102"/>
      <c r="EV104" s="102"/>
      <c r="EW104" s="102"/>
      <c r="EX104" s="102"/>
      <c r="EY104" s="102"/>
      <c r="EZ104" s="102"/>
      <c r="FA104" s="102"/>
      <c r="FB104" s="102"/>
      <c r="FC104" s="102"/>
      <c r="FD104" s="102"/>
      <c r="FE104" s="102"/>
      <c r="FF104" s="102"/>
      <c r="FG104" s="102"/>
      <c r="FH104" s="102"/>
      <c r="FI104" s="102"/>
      <c r="FJ104" s="102"/>
      <c r="FK104" s="102"/>
      <c r="FL104" s="102"/>
      <c r="FM104" s="102"/>
      <c r="FN104" s="102"/>
      <c r="FO104" s="102"/>
      <c r="FP104" s="102"/>
      <c r="FQ104" s="102"/>
      <c r="FR104" s="102"/>
      <c r="FS104" s="102"/>
      <c r="FT104" s="102"/>
      <c r="FU104" s="102"/>
      <c r="FV104" s="102"/>
      <c r="FW104" s="102"/>
      <c r="FX104" s="102"/>
      <c r="FY104" s="102"/>
      <c r="FZ104" s="102"/>
      <c r="GA104" s="102"/>
      <c r="GB104" s="102"/>
      <c r="GC104" s="102"/>
      <c r="GD104" s="102"/>
      <c r="GE104" s="102"/>
      <c r="GF104" s="102"/>
      <c r="GG104" s="102"/>
      <c r="GH104" s="102"/>
      <c r="GI104" s="102"/>
      <c r="GJ104" s="102"/>
      <c r="GK104" s="102"/>
      <c r="GL104" s="102"/>
      <c r="GM104" s="102"/>
      <c r="GN104" s="102"/>
      <c r="GO104" s="102"/>
      <c r="GP104" s="102"/>
      <c r="GQ104" s="102"/>
      <c r="GR104" s="102"/>
      <c r="GS104" s="102"/>
      <c r="GT104" s="102"/>
      <c r="GU104" s="102"/>
      <c r="GV104" s="102"/>
      <c r="GW104" s="102"/>
      <c r="GX104" s="102"/>
      <c r="GY104" s="102"/>
      <c r="GZ104" s="102"/>
      <c r="HA104" s="102"/>
      <c r="HB104" s="102"/>
      <c r="HC104" s="102"/>
      <c r="HD104" s="102"/>
      <c r="HE104" s="102"/>
      <c r="HF104" s="102"/>
      <c r="HG104" s="102"/>
      <c r="HH104" s="102"/>
      <c r="HI104" s="102"/>
      <c r="HJ104" s="102"/>
      <c r="HK104" s="102"/>
      <c r="HL104" s="102"/>
      <c r="HM104" s="102"/>
      <c r="HN104" s="102"/>
      <c r="HO104" s="102"/>
      <c r="HP104" s="102"/>
      <c r="HQ104" s="102"/>
      <c r="HR104" s="102"/>
      <c r="HS104" s="102"/>
      <c r="HT104" s="102"/>
      <c r="HU104" s="102"/>
      <c r="HV104" s="102"/>
      <c r="HW104" s="102"/>
      <c r="HX104" s="102"/>
      <c r="HY104" s="102"/>
      <c r="HZ104" s="102"/>
      <c r="IA104" s="102"/>
      <c r="IB104" s="102"/>
      <c r="IC104" s="102"/>
      <c r="ID104" s="102"/>
      <c r="IE104" s="102"/>
      <c r="IF104" s="102"/>
      <c r="IG104" s="102"/>
      <c r="IH104" s="102"/>
      <c r="II104" s="102"/>
      <c r="IJ104" s="102"/>
      <c r="IK104" s="102"/>
      <c r="IL104" s="102"/>
      <c r="IM104" s="102"/>
      <c r="IN104" s="102"/>
      <c r="IO104" s="102"/>
      <c r="IP104" s="102"/>
      <c r="IQ104" s="102"/>
      <c r="IR104" s="102"/>
      <c r="IS104" s="102"/>
      <c r="IT104" s="102"/>
      <c r="IU104" s="102"/>
      <c r="IV104" s="102"/>
      <c r="IW104" s="102"/>
      <c r="IX104" s="102"/>
      <c r="IY104" s="102"/>
      <c r="IZ104" s="102"/>
      <c r="JA104" s="102"/>
      <c r="JB104" s="102"/>
      <c r="JC104" s="102"/>
      <c r="JD104" s="102"/>
      <c r="JE104" s="102"/>
      <c r="JF104" s="102"/>
      <c r="JG104" s="102"/>
      <c r="JH104" s="102"/>
      <c r="JI104" s="102"/>
      <c r="JJ104" s="102"/>
      <c r="JK104" s="102"/>
      <c r="JL104" s="102"/>
      <c r="JM104" s="102"/>
      <c r="JN104" s="102"/>
      <c r="JO104" s="102"/>
      <c r="JP104" s="102"/>
      <c r="JQ104" s="102"/>
      <c r="JR104" s="102"/>
      <c r="JS104" s="102"/>
      <c r="JT104" s="102"/>
      <c r="JU104" s="102"/>
      <c r="JV104" s="102"/>
      <c r="JW104" s="102"/>
      <c r="JX104" s="102"/>
      <c r="JY104" s="102"/>
      <c r="JZ104" s="102"/>
      <c r="KA104" s="102"/>
      <c r="KB104" s="102"/>
      <c r="KC104" s="102"/>
      <c r="KD104" s="102"/>
      <c r="KE104" s="102"/>
      <c r="KF104" s="102"/>
      <c r="KG104" s="102"/>
      <c r="KH104" s="102"/>
      <c r="KI104" s="102"/>
      <c r="KJ104" s="102"/>
      <c r="KK104" s="102"/>
      <c r="KL104" s="102"/>
      <c r="KM104" s="102"/>
      <c r="KN104" s="102"/>
      <c r="KO104" s="102"/>
      <c r="KP104" s="102"/>
      <c r="KQ104" s="102"/>
      <c r="KR104" s="102"/>
      <c r="KS104" s="102"/>
      <c r="KT104" s="102"/>
      <c r="KU104" s="102"/>
      <c r="KV104" s="102"/>
      <c r="KW104" s="102"/>
      <c r="KX104" s="102"/>
      <c r="KY104" s="102"/>
      <c r="KZ104" s="102"/>
      <c r="LA104" s="102"/>
      <c r="LB104" s="102"/>
      <c r="LC104" s="102"/>
      <c r="LD104" s="102"/>
      <c r="LE104" s="102"/>
      <c r="LF104" s="102"/>
      <c r="LG104" s="102"/>
      <c r="LH104" s="102"/>
      <c r="LI104" s="102"/>
      <c r="LJ104" s="102"/>
      <c r="LK104" s="102"/>
      <c r="LL104" s="102"/>
      <c r="LM104" s="102"/>
      <c r="LN104" s="102"/>
      <c r="LO104" s="102"/>
      <c r="LP104" s="102"/>
      <c r="LQ104" s="102"/>
      <c r="LR104" s="102"/>
      <c r="LS104" s="102"/>
      <c r="LT104" s="102"/>
      <c r="LU104" s="102"/>
      <c r="LV104" s="102"/>
      <c r="LW104" s="102"/>
      <c r="LX104" s="102"/>
      <c r="LY104" s="102"/>
    </row>
    <row r="105" ht="15" customHeight="1">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c r="ER105" s="102"/>
      <c r="ES105" s="102"/>
      <c r="ET105" s="102"/>
      <c r="EU105" s="102"/>
      <c r="EV105" s="102"/>
      <c r="EW105" s="102"/>
      <c r="EX105" s="102"/>
      <c r="EY105" s="102"/>
      <c r="EZ105" s="102"/>
      <c r="FA105" s="102"/>
      <c r="FB105" s="102"/>
      <c r="FC105" s="102"/>
      <c r="FD105" s="102"/>
      <c r="FE105" s="102"/>
      <c r="FF105" s="102"/>
      <c r="FG105" s="102"/>
      <c r="FH105" s="102"/>
      <c r="FI105" s="102"/>
      <c r="FJ105" s="102"/>
      <c r="FK105" s="102"/>
      <c r="FL105" s="102"/>
      <c r="FM105" s="102"/>
      <c r="FN105" s="102"/>
      <c r="FO105" s="102"/>
      <c r="FP105" s="102"/>
      <c r="FQ105" s="102"/>
      <c r="FR105" s="102"/>
      <c r="FS105" s="102"/>
      <c r="FT105" s="102"/>
      <c r="FU105" s="102"/>
      <c r="FV105" s="102"/>
      <c r="FW105" s="102"/>
      <c r="FX105" s="102"/>
      <c r="FY105" s="102"/>
      <c r="FZ105" s="102"/>
      <c r="GA105" s="102"/>
      <c r="GB105" s="102"/>
      <c r="GC105" s="102"/>
      <c r="GD105" s="102"/>
      <c r="GE105" s="102"/>
      <c r="GF105" s="102"/>
      <c r="GG105" s="102"/>
      <c r="GH105" s="102"/>
      <c r="GI105" s="102"/>
      <c r="GJ105" s="102"/>
      <c r="GK105" s="102"/>
      <c r="GL105" s="102"/>
      <c r="GM105" s="102"/>
      <c r="GN105" s="102"/>
      <c r="GO105" s="102"/>
      <c r="GP105" s="102"/>
      <c r="GQ105" s="102"/>
      <c r="GR105" s="102"/>
      <c r="GS105" s="102"/>
      <c r="GT105" s="102"/>
      <c r="GU105" s="102"/>
      <c r="GV105" s="102"/>
      <c r="GW105" s="102"/>
      <c r="GX105" s="102"/>
      <c r="GY105" s="102"/>
      <c r="GZ105" s="102"/>
      <c r="HA105" s="102"/>
      <c r="HB105" s="102"/>
      <c r="HC105" s="102"/>
      <c r="HD105" s="102"/>
      <c r="HE105" s="102"/>
      <c r="HF105" s="102"/>
      <c r="HG105" s="102"/>
      <c r="HH105" s="102"/>
      <c r="HI105" s="102"/>
      <c r="HJ105" s="102"/>
      <c r="HK105" s="102"/>
      <c r="HL105" s="102"/>
      <c r="HM105" s="102"/>
      <c r="HN105" s="102"/>
      <c r="HO105" s="102"/>
      <c r="HP105" s="102"/>
      <c r="HQ105" s="102"/>
      <c r="HR105" s="102"/>
      <c r="HS105" s="102"/>
      <c r="HT105" s="102"/>
      <c r="HU105" s="102"/>
      <c r="HV105" s="102"/>
      <c r="HW105" s="102"/>
      <c r="HX105" s="102"/>
      <c r="HY105" s="102"/>
      <c r="HZ105" s="102"/>
      <c r="IA105" s="102"/>
      <c r="IB105" s="102"/>
      <c r="IC105" s="102"/>
      <c r="ID105" s="102"/>
      <c r="IE105" s="102"/>
      <c r="IF105" s="102"/>
      <c r="IG105" s="102"/>
      <c r="IH105" s="102"/>
      <c r="II105" s="102"/>
      <c r="IJ105" s="102"/>
      <c r="IK105" s="102"/>
      <c r="IL105" s="102"/>
      <c r="IM105" s="102"/>
      <c r="IN105" s="102"/>
      <c r="IO105" s="102"/>
      <c r="IP105" s="102"/>
      <c r="IQ105" s="102"/>
      <c r="IR105" s="102"/>
      <c r="IS105" s="102"/>
      <c r="IT105" s="102"/>
      <c r="IU105" s="102"/>
      <c r="IV105" s="102"/>
      <c r="IW105" s="102"/>
      <c r="IX105" s="102"/>
      <c r="IY105" s="102"/>
      <c r="IZ105" s="102"/>
      <c r="JA105" s="102"/>
      <c r="JB105" s="102"/>
      <c r="JC105" s="102"/>
      <c r="JD105" s="102"/>
      <c r="JE105" s="102"/>
      <c r="JF105" s="102"/>
      <c r="JG105" s="102"/>
      <c r="JH105" s="102"/>
      <c r="JI105" s="102"/>
      <c r="JJ105" s="102"/>
      <c r="JK105" s="102"/>
      <c r="JL105" s="102"/>
      <c r="JM105" s="102"/>
      <c r="JN105" s="102"/>
      <c r="JO105" s="102"/>
      <c r="JP105" s="102"/>
      <c r="JQ105" s="102"/>
      <c r="JR105" s="102"/>
      <c r="JS105" s="102"/>
      <c r="JT105" s="102"/>
      <c r="JU105" s="102"/>
      <c r="JV105" s="102"/>
      <c r="JW105" s="102"/>
      <c r="JX105" s="102"/>
      <c r="JY105" s="102"/>
      <c r="JZ105" s="102"/>
      <c r="KA105" s="102"/>
      <c r="KB105" s="102"/>
      <c r="KC105" s="102"/>
      <c r="KD105" s="102"/>
      <c r="KE105" s="102"/>
      <c r="KF105" s="102"/>
      <c r="KG105" s="102"/>
      <c r="KH105" s="102"/>
      <c r="KI105" s="102"/>
      <c r="KJ105" s="102"/>
      <c r="KK105" s="102"/>
      <c r="KL105" s="102"/>
      <c r="KM105" s="102"/>
      <c r="KN105" s="102"/>
      <c r="KO105" s="102"/>
      <c r="KP105" s="102"/>
      <c r="KQ105" s="102"/>
      <c r="KR105" s="102"/>
      <c r="KS105" s="102"/>
      <c r="KT105" s="102"/>
      <c r="KU105" s="102"/>
      <c r="KV105" s="102"/>
      <c r="KW105" s="102"/>
      <c r="KX105" s="102"/>
      <c r="KY105" s="102"/>
      <c r="KZ105" s="102"/>
      <c r="LA105" s="102"/>
      <c r="LB105" s="102"/>
      <c r="LC105" s="102"/>
      <c r="LD105" s="102"/>
      <c r="LE105" s="102"/>
      <c r="LF105" s="102"/>
      <c r="LG105" s="102"/>
      <c r="LH105" s="102"/>
      <c r="LI105" s="102"/>
      <c r="LJ105" s="102"/>
      <c r="LK105" s="102"/>
      <c r="LL105" s="102"/>
      <c r="LM105" s="102"/>
      <c r="LN105" s="102"/>
      <c r="LO105" s="102"/>
      <c r="LP105" s="102"/>
      <c r="LQ105" s="102"/>
      <c r="LR105" s="102"/>
      <c r="LS105" s="102"/>
      <c r="LT105" s="102"/>
      <c r="LU105" s="102"/>
      <c r="LV105" s="102"/>
      <c r="LW105" s="102"/>
      <c r="LX105" s="102"/>
      <c r="LY105" s="102"/>
    </row>
    <row r="106" ht="15" customHeight="1">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c r="EO106" s="102"/>
      <c r="EP106" s="102"/>
      <c r="EQ106" s="102"/>
      <c r="ER106" s="102"/>
      <c r="ES106" s="102"/>
      <c r="ET106" s="102"/>
      <c r="EU106" s="102"/>
      <c r="EV106" s="102"/>
      <c r="EW106" s="102"/>
      <c r="EX106" s="102"/>
      <c r="EY106" s="102"/>
      <c r="EZ106" s="102"/>
      <c r="FA106" s="102"/>
      <c r="FB106" s="102"/>
      <c r="FC106" s="102"/>
      <c r="FD106" s="102"/>
      <c r="FE106" s="102"/>
      <c r="FF106" s="102"/>
      <c r="FG106" s="102"/>
      <c r="FH106" s="102"/>
      <c r="FI106" s="102"/>
      <c r="FJ106" s="102"/>
      <c r="FK106" s="102"/>
      <c r="FL106" s="102"/>
      <c r="FM106" s="102"/>
      <c r="FN106" s="102"/>
      <c r="FO106" s="102"/>
      <c r="FP106" s="102"/>
      <c r="FQ106" s="102"/>
      <c r="FR106" s="102"/>
      <c r="FS106" s="102"/>
      <c r="FT106" s="102"/>
      <c r="FU106" s="102"/>
      <c r="FV106" s="102"/>
      <c r="FW106" s="102"/>
      <c r="FX106" s="102"/>
      <c r="FY106" s="102"/>
      <c r="FZ106" s="102"/>
      <c r="GA106" s="102"/>
      <c r="GB106" s="102"/>
      <c r="GC106" s="102"/>
      <c r="GD106" s="102"/>
      <c r="GE106" s="102"/>
      <c r="GF106" s="102"/>
      <c r="GG106" s="102"/>
      <c r="GH106" s="102"/>
      <c r="GI106" s="102"/>
      <c r="GJ106" s="102"/>
      <c r="GK106" s="102"/>
      <c r="GL106" s="102"/>
      <c r="GM106" s="102"/>
      <c r="GN106" s="102"/>
      <c r="GO106" s="102"/>
      <c r="GP106" s="102"/>
      <c r="GQ106" s="102"/>
      <c r="GR106" s="102"/>
      <c r="GS106" s="102"/>
      <c r="GT106" s="102"/>
      <c r="GU106" s="102"/>
      <c r="GV106" s="102"/>
      <c r="GW106" s="102"/>
      <c r="GX106" s="102"/>
      <c r="GY106" s="102"/>
      <c r="GZ106" s="102"/>
      <c r="HA106" s="102"/>
      <c r="HB106" s="102"/>
      <c r="HC106" s="102"/>
      <c r="HD106" s="102"/>
      <c r="HE106" s="102"/>
      <c r="HF106" s="102"/>
      <c r="HG106" s="102"/>
      <c r="HH106" s="102"/>
      <c r="HI106" s="102"/>
      <c r="HJ106" s="102"/>
      <c r="HK106" s="102"/>
      <c r="HL106" s="102"/>
      <c r="HM106" s="102"/>
      <c r="HN106" s="102"/>
      <c r="HO106" s="102"/>
      <c r="HP106" s="102"/>
      <c r="HQ106" s="102"/>
      <c r="HR106" s="102"/>
      <c r="HS106" s="102"/>
      <c r="HT106" s="102"/>
      <c r="HU106" s="102"/>
      <c r="HV106" s="102"/>
      <c r="HW106" s="102"/>
      <c r="HX106" s="102"/>
      <c r="HY106" s="102"/>
      <c r="HZ106" s="102"/>
      <c r="IA106" s="102"/>
      <c r="IB106" s="102"/>
      <c r="IC106" s="102"/>
      <c r="ID106" s="102"/>
      <c r="IE106" s="102"/>
      <c r="IF106" s="102"/>
      <c r="IG106" s="102"/>
      <c r="IH106" s="102"/>
      <c r="II106" s="102"/>
      <c r="IJ106" s="102"/>
      <c r="IK106" s="102"/>
      <c r="IL106" s="102"/>
      <c r="IM106" s="102"/>
      <c r="IN106" s="102"/>
      <c r="IO106" s="102"/>
      <c r="IP106" s="102"/>
      <c r="IQ106" s="102"/>
      <c r="IR106" s="102"/>
      <c r="IS106" s="102"/>
      <c r="IT106" s="102"/>
      <c r="IU106" s="102"/>
      <c r="IV106" s="102"/>
      <c r="IW106" s="102"/>
      <c r="IX106" s="102"/>
      <c r="IY106" s="102"/>
      <c r="IZ106" s="102"/>
      <c r="JA106" s="102"/>
      <c r="JB106" s="102"/>
      <c r="JC106" s="102"/>
      <c r="JD106" s="102"/>
      <c r="JE106" s="102"/>
      <c r="JF106" s="102"/>
      <c r="JG106" s="102"/>
      <c r="JH106" s="102"/>
      <c r="JI106" s="102"/>
      <c r="JJ106" s="102"/>
      <c r="JK106" s="102"/>
      <c r="JL106" s="102"/>
      <c r="JM106" s="102"/>
      <c r="JN106" s="102"/>
      <c r="JO106" s="102"/>
      <c r="JP106" s="102"/>
      <c r="JQ106" s="102"/>
      <c r="JR106" s="102"/>
      <c r="JS106" s="102"/>
      <c r="JT106" s="102"/>
      <c r="JU106" s="102"/>
      <c r="JV106" s="102"/>
      <c r="JW106" s="102"/>
      <c r="JX106" s="102"/>
      <c r="JY106" s="102"/>
      <c r="JZ106" s="102"/>
      <c r="KA106" s="102"/>
      <c r="KB106" s="102"/>
      <c r="KC106" s="102"/>
      <c r="KD106" s="102"/>
      <c r="KE106" s="102"/>
      <c r="KF106" s="102"/>
      <c r="KG106" s="102"/>
      <c r="KH106" s="102"/>
      <c r="KI106" s="102"/>
      <c r="KJ106" s="102"/>
      <c r="KK106" s="102"/>
      <c r="KL106" s="102"/>
      <c r="KM106" s="102"/>
      <c r="KN106" s="102"/>
      <c r="KO106" s="102"/>
      <c r="KP106" s="102"/>
      <c r="KQ106" s="102"/>
      <c r="KR106" s="102"/>
      <c r="KS106" s="102"/>
      <c r="KT106" s="102"/>
      <c r="KU106" s="102"/>
      <c r="KV106" s="102"/>
      <c r="KW106" s="102"/>
      <c r="KX106" s="102"/>
      <c r="KY106" s="102"/>
      <c r="KZ106" s="102"/>
      <c r="LA106" s="102"/>
      <c r="LB106" s="102"/>
      <c r="LC106" s="102"/>
      <c r="LD106" s="102"/>
      <c r="LE106" s="102"/>
      <c r="LF106" s="102"/>
      <c r="LG106" s="102"/>
      <c r="LH106" s="102"/>
      <c r="LI106" s="102"/>
      <c r="LJ106" s="102"/>
      <c r="LK106" s="102"/>
      <c r="LL106" s="102"/>
      <c r="LM106" s="102"/>
      <c r="LN106" s="102"/>
      <c r="LO106" s="102"/>
      <c r="LP106" s="102"/>
      <c r="LQ106" s="102"/>
      <c r="LR106" s="102"/>
      <c r="LS106" s="102"/>
      <c r="LT106" s="102"/>
      <c r="LU106" s="102"/>
      <c r="LV106" s="102"/>
      <c r="LW106" s="102"/>
      <c r="LX106" s="102"/>
      <c r="LY106" s="102"/>
    </row>
    <row r="107" ht="15" customHeight="1">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c r="EO107" s="102"/>
      <c r="EP107" s="102"/>
      <c r="EQ107" s="102"/>
      <c r="ER107" s="102"/>
      <c r="ES107" s="102"/>
      <c r="ET107" s="102"/>
      <c r="EU107" s="102"/>
      <c r="EV107" s="102"/>
      <c r="EW107" s="102"/>
      <c r="EX107" s="102"/>
      <c r="EY107" s="102"/>
      <c r="EZ107" s="102"/>
      <c r="FA107" s="102"/>
      <c r="FB107" s="102"/>
      <c r="FC107" s="102"/>
      <c r="FD107" s="102"/>
      <c r="FE107" s="102"/>
      <c r="FF107" s="102"/>
      <c r="FG107" s="102"/>
      <c r="FH107" s="102"/>
      <c r="FI107" s="102"/>
      <c r="FJ107" s="102"/>
      <c r="FK107" s="102"/>
      <c r="FL107" s="102"/>
      <c r="FM107" s="102"/>
      <c r="FN107" s="102"/>
      <c r="FO107" s="102"/>
      <c r="FP107" s="102"/>
      <c r="FQ107" s="102"/>
      <c r="FR107" s="102"/>
      <c r="FS107" s="102"/>
      <c r="FT107" s="102"/>
      <c r="FU107" s="102"/>
      <c r="FV107" s="102"/>
      <c r="FW107" s="102"/>
      <c r="FX107" s="102"/>
      <c r="FY107" s="102"/>
      <c r="FZ107" s="102"/>
      <c r="GA107" s="102"/>
      <c r="GB107" s="102"/>
      <c r="GC107" s="102"/>
      <c r="GD107" s="102"/>
      <c r="GE107" s="102"/>
      <c r="GF107" s="102"/>
      <c r="GG107" s="102"/>
      <c r="GH107" s="102"/>
      <c r="GI107" s="102"/>
      <c r="GJ107" s="102"/>
      <c r="GK107" s="102"/>
      <c r="GL107" s="102"/>
      <c r="GM107" s="102"/>
      <c r="GN107" s="102"/>
      <c r="GO107" s="102"/>
      <c r="GP107" s="102"/>
      <c r="GQ107" s="102"/>
      <c r="GR107" s="102"/>
      <c r="GS107" s="102"/>
      <c r="GT107" s="102"/>
      <c r="GU107" s="102"/>
      <c r="GV107" s="102"/>
      <c r="GW107" s="102"/>
      <c r="GX107" s="102"/>
      <c r="GY107" s="102"/>
      <c r="GZ107" s="102"/>
      <c r="HA107" s="102"/>
      <c r="HB107" s="102"/>
      <c r="HC107" s="102"/>
      <c r="HD107" s="102"/>
      <c r="HE107" s="102"/>
      <c r="HF107" s="102"/>
      <c r="HG107" s="102"/>
      <c r="HH107" s="102"/>
      <c r="HI107" s="102"/>
      <c r="HJ107" s="102"/>
      <c r="HK107" s="102"/>
      <c r="HL107" s="102"/>
      <c r="HM107" s="102"/>
      <c r="HN107" s="102"/>
      <c r="HO107" s="102"/>
      <c r="HP107" s="102"/>
      <c r="HQ107" s="102"/>
      <c r="HR107" s="102"/>
      <c r="HS107" s="102"/>
      <c r="HT107" s="102"/>
      <c r="HU107" s="102"/>
      <c r="HV107" s="102"/>
      <c r="HW107" s="102"/>
      <c r="HX107" s="102"/>
      <c r="HY107" s="102"/>
      <c r="HZ107" s="102"/>
      <c r="IA107" s="102"/>
      <c r="IB107" s="102"/>
      <c r="IC107" s="102"/>
      <c r="ID107" s="102"/>
      <c r="IE107" s="102"/>
      <c r="IF107" s="102"/>
      <c r="IG107" s="102"/>
      <c r="IH107" s="102"/>
      <c r="II107" s="102"/>
      <c r="IJ107" s="102"/>
      <c r="IK107" s="102"/>
      <c r="IL107" s="102"/>
      <c r="IM107" s="102"/>
      <c r="IN107" s="102"/>
      <c r="IO107" s="102"/>
      <c r="IP107" s="102"/>
      <c r="IQ107" s="102"/>
      <c r="IR107" s="102"/>
      <c r="IS107" s="102"/>
      <c r="IT107" s="102"/>
      <c r="IU107" s="102"/>
      <c r="IV107" s="102"/>
      <c r="IW107" s="102"/>
      <c r="IX107" s="102"/>
      <c r="IY107" s="102"/>
      <c r="IZ107" s="102"/>
      <c r="JA107" s="102"/>
      <c r="JB107" s="102"/>
      <c r="JC107" s="102"/>
      <c r="JD107" s="102"/>
      <c r="JE107" s="102"/>
      <c r="JF107" s="102"/>
      <c r="JG107" s="102"/>
      <c r="JH107" s="102"/>
      <c r="JI107" s="102"/>
      <c r="JJ107" s="102"/>
      <c r="JK107" s="102"/>
      <c r="JL107" s="102"/>
      <c r="JM107" s="102"/>
      <c r="JN107" s="102"/>
      <c r="JO107" s="102"/>
      <c r="JP107" s="102"/>
      <c r="JQ107" s="102"/>
      <c r="JR107" s="102"/>
      <c r="JS107" s="102"/>
      <c r="JT107" s="102"/>
      <c r="JU107" s="102"/>
      <c r="JV107" s="102"/>
      <c r="JW107" s="102"/>
      <c r="JX107" s="102"/>
      <c r="JY107" s="102"/>
      <c r="JZ107" s="102"/>
      <c r="KA107" s="102"/>
      <c r="KB107" s="102"/>
      <c r="KC107" s="102"/>
      <c r="KD107" s="102"/>
      <c r="KE107" s="102"/>
      <c r="KF107" s="102"/>
      <c r="KG107" s="102"/>
      <c r="KH107" s="102"/>
      <c r="KI107" s="102"/>
      <c r="KJ107" s="102"/>
      <c r="KK107" s="102"/>
      <c r="KL107" s="102"/>
      <c r="KM107" s="102"/>
      <c r="KN107" s="102"/>
      <c r="KO107" s="102"/>
      <c r="KP107" s="102"/>
      <c r="KQ107" s="102"/>
      <c r="KR107" s="102"/>
      <c r="KS107" s="102"/>
      <c r="KT107" s="102"/>
      <c r="KU107" s="102"/>
      <c r="KV107" s="102"/>
      <c r="KW107" s="102"/>
      <c r="KX107" s="102"/>
      <c r="KY107" s="102"/>
      <c r="KZ107" s="102"/>
      <c r="LA107" s="102"/>
      <c r="LB107" s="102"/>
      <c r="LC107" s="102"/>
      <c r="LD107" s="102"/>
      <c r="LE107" s="102"/>
      <c r="LF107" s="102"/>
      <c r="LG107" s="102"/>
      <c r="LH107" s="102"/>
      <c r="LI107" s="102"/>
      <c r="LJ107" s="102"/>
      <c r="LK107" s="102"/>
      <c r="LL107" s="102"/>
      <c r="LM107" s="102"/>
      <c r="LN107" s="102"/>
      <c r="LO107" s="102"/>
      <c r="LP107" s="102"/>
      <c r="LQ107" s="102"/>
      <c r="LR107" s="102"/>
      <c r="LS107" s="102"/>
      <c r="LT107" s="102"/>
      <c r="LU107" s="102"/>
      <c r="LV107" s="102"/>
      <c r="LW107" s="102"/>
      <c r="LX107" s="102"/>
      <c r="LY107" s="102"/>
    </row>
    <row r="108" ht="15" customHeight="1">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c r="EO108" s="102"/>
      <c r="EP108" s="102"/>
      <c r="EQ108" s="102"/>
      <c r="ER108" s="102"/>
      <c r="ES108" s="102"/>
      <c r="ET108" s="102"/>
      <c r="EU108" s="102"/>
      <c r="EV108" s="102"/>
      <c r="EW108" s="102"/>
      <c r="EX108" s="102"/>
      <c r="EY108" s="102"/>
      <c r="EZ108" s="102"/>
      <c r="FA108" s="102"/>
      <c r="FB108" s="102"/>
      <c r="FC108" s="102"/>
      <c r="FD108" s="102"/>
      <c r="FE108" s="102"/>
      <c r="FF108" s="102"/>
      <c r="FG108" s="102"/>
      <c r="FH108" s="102"/>
      <c r="FI108" s="102"/>
      <c r="FJ108" s="102"/>
      <c r="FK108" s="102"/>
      <c r="FL108" s="102"/>
      <c r="FM108" s="102"/>
      <c r="FN108" s="102"/>
      <c r="FO108" s="102"/>
      <c r="FP108" s="102"/>
      <c r="FQ108" s="102"/>
      <c r="FR108" s="102"/>
      <c r="FS108" s="102"/>
      <c r="FT108" s="102"/>
      <c r="FU108" s="102"/>
      <c r="FV108" s="102"/>
      <c r="FW108" s="102"/>
      <c r="FX108" s="102"/>
      <c r="FY108" s="102"/>
      <c r="FZ108" s="102"/>
      <c r="GA108" s="102"/>
      <c r="GB108" s="102"/>
      <c r="GC108" s="102"/>
      <c r="GD108" s="102"/>
      <c r="GE108" s="102"/>
      <c r="GF108" s="102"/>
      <c r="GG108" s="102"/>
      <c r="GH108" s="102"/>
      <c r="GI108" s="102"/>
      <c r="GJ108" s="102"/>
      <c r="GK108" s="102"/>
      <c r="GL108" s="102"/>
      <c r="GM108" s="102"/>
      <c r="GN108" s="102"/>
      <c r="GO108" s="102"/>
      <c r="GP108" s="102"/>
      <c r="GQ108" s="102"/>
      <c r="GR108" s="102"/>
      <c r="GS108" s="102"/>
      <c r="GT108" s="102"/>
      <c r="GU108" s="102"/>
      <c r="GV108" s="102"/>
      <c r="GW108" s="102"/>
      <c r="GX108" s="102"/>
      <c r="GY108" s="102"/>
      <c r="GZ108" s="102"/>
      <c r="HA108" s="102"/>
      <c r="HB108" s="102"/>
      <c r="HC108" s="102"/>
      <c r="HD108" s="102"/>
      <c r="HE108" s="102"/>
      <c r="HF108" s="102"/>
      <c r="HG108" s="102"/>
      <c r="HH108" s="102"/>
      <c r="HI108" s="102"/>
      <c r="HJ108" s="102"/>
      <c r="HK108" s="102"/>
      <c r="HL108" s="102"/>
      <c r="HM108" s="102"/>
      <c r="HN108" s="102"/>
      <c r="HO108" s="102"/>
      <c r="HP108" s="102"/>
      <c r="HQ108" s="102"/>
      <c r="HR108" s="102"/>
      <c r="HS108" s="102"/>
      <c r="HT108" s="102"/>
      <c r="HU108" s="102"/>
      <c r="HV108" s="102"/>
      <c r="HW108" s="102"/>
      <c r="HX108" s="102"/>
      <c r="HY108" s="102"/>
      <c r="HZ108" s="102"/>
      <c r="IA108" s="102"/>
      <c r="IB108" s="102"/>
      <c r="IC108" s="102"/>
      <c r="ID108" s="102"/>
      <c r="IE108" s="102"/>
      <c r="IF108" s="102"/>
      <c r="IG108" s="102"/>
      <c r="IH108" s="102"/>
      <c r="II108" s="102"/>
      <c r="IJ108" s="102"/>
      <c r="IK108" s="102"/>
      <c r="IL108" s="102"/>
      <c r="IM108" s="102"/>
      <c r="IN108" s="102"/>
      <c r="IO108" s="102"/>
      <c r="IP108" s="102"/>
      <c r="IQ108" s="102"/>
      <c r="IR108" s="102"/>
      <c r="IS108" s="102"/>
      <c r="IT108" s="102"/>
      <c r="IU108" s="102"/>
      <c r="IV108" s="102"/>
      <c r="IW108" s="102"/>
      <c r="IX108" s="102"/>
      <c r="IY108" s="102"/>
      <c r="IZ108" s="102"/>
      <c r="JA108" s="102"/>
      <c r="JB108" s="102"/>
      <c r="JC108" s="102"/>
      <c r="JD108" s="102"/>
      <c r="JE108" s="102"/>
      <c r="JF108" s="102"/>
      <c r="JG108" s="102"/>
      <c r="JH108" s="102"/>
      <c r="JI108" s="102"/>
      <c r="JJ108" s="102"/>
      <c r="JK108" s="102"/>
      <c r="JL108" s="102"/>
      <c r="JM108" s="102"/>
      <c r="JN108" s="102"/>
      <c r="JO108" s="102"/>
      <c r="JP108" s="102"/>
      <c r="JQ108" s="102"/>
      <c r="JR108" s="102"/>
      <c r="JS108" s="102"/>
      <c r="JT108" s="102"/>
      <c r="JU108" s="102"/>
      <c r="JV108" s="102"/>
      <c r="JW108" s="102"/>
      <c r="JX108" s="102"/>
      <c r="JY108" s="102"/>
      <c r="JZ108" s="102"/>
      <c r="KA108" s="102"/>
      <c r="KB108" s="102"/>
      <c r="KC108" s="102"/>
      <c r="KD108" s="102"/>
      <c r="KE108" s="102"/>
      <c r="KF108" s="102"/>
      <c r="KG108" s="102"/>
      <c r="KH108" s="102"/>
      <c r="KI108" s="102"/>
      <c r="KJ108" s="102"/>
      <c r="KK108" s="102"/>
      <c r="KL108" s="102"/>
      <c r="KM108" s="102"/>
      <c r="KN108" s="102"/>
      <c r="KO108" s="102"/>
      <c r="KP108" s="102"/>
      <c r="KQ108" s="102"/>
      <c r="KR108" s="102"/>
      <c r="KS108" s="102"/>
      <c r="KT108" s="102"/>
      <c r="KU108" s="102"/>
      <c r="KV108" s="102"/>
      <c r="KW108" s="102"/>
      <c r="KX108" s="102"/>
      <c r="KY108" s="102"/>
      <c r="KZ108" s="102"/>
      <c r="LA108" s="102"/>
      <c r="LB108" s="102"/>
      <c r="LC108" s="102"/>
      <c r="LD108" s="102"/>
      <c r="LE108" s="102"/>
      <c r="LF108" s="102"/>
      <c r="LG108" s="102"/>
      <c r="LH108" s="102"/>
      <c r="LI108" s="102"/>
      <c r="LJ108" s="102"/>
      <c r="LK108" s="102"/>
      <c r="LL108" s="102"/>
      <c r="LM108" s="102"/>
      <c r="LN108" s="102"/>
      <c r="LO108" s="102"/>
      <c r="LP108" s="102"/>
      <c r="LQ108" s="102"/>
      <c r="LR108" s="102"/>
      <c r="LS108" s="102"/>
      <c r="LT108" s="102"/>
      <c r="LU108" s="102"/>
      <c r="LV108" s="102"/>
      <c r="LW108" s="102"/>
      <c r="LX108" s="102"/>
      <c r="LY108" s="102"/>
    </row>
    <row r="109" ht="15" customHeight="1">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c r="EO109" s="102"/>
      <c r="EP109" s="102"/>
      <c r="EQ109" s="102"/>
      <c r="ER109" s="102"/>
      <c r="ES109" s="102"/>
      <c r="ET109" s="102"/>
      <c r="EU109" s="102"/>
      <c r="EV109" s="102"/>
      <c r="EW109" s="102"/>
      <c r="EX109" s="102"/>
      <c r="EY109" s="102"/>
      <c r="EZ109" s="102"/>
      <c r="FA109" s="102"/>
      <c r="FB109" s="102"/>
      <c r="FC109" s="102"/>
      <c r="FD109" s="102"/>
      <c r="FE109" s="102"/>
      <c r="FF109" s="102"/>
      <c r="FG109" s="102"/>
      <c r="FH109" s="102"/>
      <c r="FI109" s="102"/>
      <c r="FJ109" s="102"/>
      <c r="FK109" s="102"/>
      <c r="FL109" s="102"/>
      <c r="FM109" s="102"/>
      <c r="FN109" s="102"/>
      <c r="FO109" s="102"/>
      <c r="FP109" s="102"/>
      <c r="FQ109" s="102"/>
      <c r="FR109" s="102"/>
      <c r="FS109" s="102"/>
      <c r="FT109" s="102"/>
      <c r="FU109" s="102"/>
      <c r="FV109" s="102"/>
      <c r="FW109" s="102"/>
      <c r="FX109" s="102"/>
      <c r="FY109" s="102"/>
      <c r="FZ109" s="102"/>
      <c r="GA109" s="102"/>
      <c r="GB109" s="102"/>
      <c r="GC109" s="102"/>
      <c r="GD109" s="102"/>
      <c r="GE109" s="102"/>
      <c r="GF109" s="102"/>
      <c r="GG109" s="102"/>
      <c r="GH109" s="102"/>
      <c r="GI109" s="102"/>
      <c r="GJ109" s="102"/>
      <c r="GK109" s="102"/>
      <c r="GL109" s="102"/>
      <c r="GM109" s="102"/>
      <c r="GN109" s="102"/>
      <c r="GO109" s="102"/>
      <c r="GP109" s="102"/>
      <c r="GQ109" s="102"/>
      <c r="GR109" s="102"/>
      <c r="GS109" s="102"/>
      <c r="GT109" s="102"/>
      <c r="GU109" s="102"/>
      <c r="GV109" s="102"/>
      <c r="GW109" s="102"/>
      <c r="GX109" s="102"/>
      <c r="GY109" s="102"/>
      <c r="GZ109" s="102"/>
      <c r="HA109" s="102"/>
      <c r="HB109" s="102"/>
      <c r="HC109" s="102"/>
      <c r="HD109" s="102"/>
      <c r="HE109" s="102"/>
      <c r="HF109" s="102"/>
      <c r="HG109" s="102"/>
      <c r="HH109" s="102"/>
      <c r="HI109" s="102"/>
      <c r="HJ109" s="102"/>
      <c r="HK109" s="102"/>
      <c r="HL109" s="102"/>
      <c r="HM109" s="102"/>
      <c r="HN109" s="102"/>
      <c r="HO109" s="102"/>
      <c r="HP109" s="102"/>
      <c r="HQ109" s="102"/>
      <c r="HR109" s="102"/>
      <c r="HS109" s="102"/>
      <c r="HT109" s="102"/>
      <c r="HU109" s="102"/>
      <c r="HV109" s="102"/>
      <c r="HW109" s="102"/>
      <c r="HX109" s="102"/>
      <c r="HY109" s="102"/>
      <c r="HZ109" s="102"/>
      <c r="IA109" s="102"/>
      <c r="IB109" s="102"/>
      <c r="IC109" s="102"/>
      <c r="ID109" s="102"/>
      <c r="IE109" s="102"/>
      <c r="IF109" s="102"/>
      <c r="IG109" s="102"/>
      <c r="IH109" s="102"/>
      <c r="II109" s="102"/>
      <c r="IJ109" s="102"/>
      <c r="IK109" s="102"/>
      <c r="IL109" s="102"/>
      <c r="IM109" s="102"/>
      <c r="IN109" s="102"/>
      <c r="IO109" s="102"/>
      <c r="IP109" s="102"/>
      <c r="IQ109" s="102"/>
      <c r="IR109" s="102"/>
      <c r="IS109" s="102"/>
      <c r="IT109" s="102"/>
      <c r="IU109" s="102"/>
      <c r="IV109" s="102"/>
      <c r="IW109" s="102"/>
      <c r="IX109" s="102"/>
      <c r="IY109" s="102"/>
      <c r="IZ109" s="102"/>
      <c r="JA109" s="102"/>
      <c r="JB109" s="102"/>
      <c r="JC109" s="102"/>
      <c r="JD109" s="102"/>
      <c r="JE109" s="102"/>
      <c r="JF109" s="102"/>
      <c r="JG109" s="102"/>
      <c r="JH109" s="102"/>
      <c r="JI109" s="102"/>
      <c r="JJ109" s="102"/>
      <c r="JK109" s="102"/>
      <c r="JL109" s="102"/>
      <c r="JM109" s="102"/>
      <c r="JN109" s="102"/>
      <c r="JO109" s="102"/>
      <c r="JP109" s="102"/>
      <c r="JQ109" s="102"/>
      <c r="JR109" s="102"/>
      <c r="JS109" s="102"/>
      <c r="JT109" s="102"/>
      <c r="JU109" s="102"/>
      <c r="JV109" s="102"/>
      <c r="JW109" s="102"/>
      <c r="JX109" s="102"/>
      <c r="JY109" s="102"/>
      <c r="JZ109" s="102"/>
      <c r="KA109" s="102"/>
      <c r="KB109" s="102"/>
      <c r="KC109" s="102"/>
      <c r="KD109" s="102"/>
      <c r="KE109" s="102"/>
      <c r="KF109" s="102"/>
      <c r="KG109" s="102"/>
      <c r="KH109" s="102"/>
      <c r="KI109" s="102"/>
      <c r="KJ109" s="102"/>
      <c r="KK109" s="102"/>
      <c r="KL109" s="102"/>
      <c r="KM109" s="102"/>
      <c r="KN109" s="102"/>
      <c r="KO109" s="102"/>
      <c r="KP109" s="102"/>
      <c r="KQ109" s="102"/>
      <c r="KR109" s="102"/>
      <c r="KS109" s="102"/>
      <c r="KT109" s="102"/>
      <c r="KU109" s="102"/>
      <c r="KV109" s="102"/>
      <c r="KW109" s="102"/>
      <c r="KX109" s="102"/>
      <c r="KY109" s="102"/>
      <c r="KZ109" s="102"/>
      <c r="LA109" s="102"/>
      <c r="LB109" s="102"/>
      <c r="LC109" s="102"/>
      <c r="LD109" s="102"/>
      <c r="LE109" s="102"/>
      <c r="LF109" s="102"/>
      <c r="LG109" s="102"/>
      <c r="LH109" s="102"/>
      <c r="LI109" s="102"/>
      <c r="LJ109" s="102"/>
      <c r="LK109" s="102"/>
      <c r="LL109" s="102"/>
      <c r="LM109" s="102"/>
      <c r="LN109" s="102"/>
      <c r="LO109" s="102"/>
      <c r="LP109" s="102"/>
      <c r="LQ109" s="102"/>
      <c r="LR109" s="102"/>
      <c r="LS109" s="102"/>
      <c r="LT109" s="102"/>
      <c r="LU109" s="102"/>
      <c r="LV109" s="102"/>
      <c r="LW109" s="102"/>
      <c r="LX109" s="102"/>
      <c r="LY109" s="102"/>
    </row>
    <row r="110" ht="15" customHeight="1">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c r="EO110" s="102"/>
      <c r="EP110" s="102"/>
      <c r="EQ110" s="102"/>
      <c r="ER110" s="102"/>
      <c r="ES110" s="102"/>
      <c r="ET110" s="102"/>
      <c r="EU110" s="102"/>
      <c r="EV110" s="102"/>
      <c r="EW110" s="102"/>
      <c r="EX110" s="102"/>
      <c r="EY110" s="102"/>
      <c r="EZ110" s="102"/>
      <c r="FA110" s="102"/>
      <c r="FB110" s="102"/>
      <c r="FC110" s="102"/>
      <c r="FD110" s="102"/>
      <c r="FE110" s="102"/>
      <c r="FF110" s="102"/>
      <c r="FG110" s="102"/>
      <c r="FH110" s="102"/>
      <c r="FI110" s="102"/>
      <c r="FJ110" s="102"/>
      <c r="FK110" s="102"/>
      <c r="FL110" s="102"/>
      <c r="FM110" s="102"/>
      <c r="FN110" s="102"/>
      <c r="FO110" s="102"/>
      <c r="FP110" s="102"/>
      <c r="FQ110" s="102"/>
      <c r="FR110" s="102"/>
      <c r="FS110" s="102"/>
      <c r="FT110" s="102"/>
      <c r="FU110" s="102"/>
      <c r="FV110" s="102"/>
      <c r="FW110" s="102"/>
      <c r="FX110" s="102"/>
      <c r="FY110" s="102"/>
      <c r="FZ110" s="102"/>
      <c r="GA110" s="102"/>
      <c r="GB110" s="102"/>
      <c r="GC110" s="102"/>
      <c r="GD110" s="102"/>
      <c r="GE110" s="102"/>
      <c r="GF110" s="102"/>
      <c r="GG110" s="102"/>
      <c r="GH110" s="102"/>
      <c r="GI110" s="102"/>
      <c r="GJ110" s="102"/>
      <c r="GK110" s="102"/>
      <c r="GL110" s="102"/>
      <c r="GM110" s="102"/>
      <c r="GN110" s="102"/>
      <c r="GO110" s="102"/>
      <c r="GP110" s="102"/>
      <c r="GQ110" s="102"/>
      <c r="GR110" s="102"/>
      <c r="GS110" s="102"/>
      <c r="GT110" s="102"/>
      <c r="GU110" s="102"/>
      <c r="GV110" s="102"/>
      <c r="GW110" s="102"/>
      <c r="GX110" s="102"/>
      <c r="GY110" s="102"/>
      <c r="GZ110" s="102"/>
      <c r="HA110" s="102"/>
      <c r="HB110" s="102"/>
      <c r="HC110" s="102"/>
      <c r="HD110" s="102"/>
      <c r="HE110" s="102"/>
      <c r="HF110" s="102"/>
      <c r="HG110" s="102"/>
      <c r="HH110" s="102"/>
      <c r="HI110" s="102"/>
      <c r="HJ110" s="102"/>
      <c r="HK110" s="102"/>
      <c r="HL110" s="102"/>
      <c r="HM110" s="102"/>
      <c r="HN110" s="102"/>
      <c r="HO110" s="102"/>
      <c r="HP110" s="102"/>
      <c r="HQ110" s="102"/>
      <c r="HR110" s="102"/>
      <c r="HS110" s="102"/>
      <c r="HT110" s="102"/>
      <c r="HU110" s="102"/>
      <c r="HV110" s="102"/>
      <c r="HW110" s="102"/>
      <c r="HX110" s="102"/>
      <c r="HY110" s="102"/>
      <c r="HZ110" s="102"/>
      <c r="IA110" s="102"/>
      <c r="IB110" s="102"/>
      <c r="IC110" s="102"/>
      <c r="ID110" s="102"/>
      <c r="IE110" s="102"/>
      <c r="IF110" s="102"/>
      <c r="IG110" s="102"/>
      <c r="IH110" s="102"/>
      <c r="II110" s="102"/>
      <c r="IJ110" s="102"/>
      <c r="IK110" s="102"/>
      <c r="IL110" s="102"/>
      <c r="IM110" s="102"/>
      <c r="IN110" s="102"/>
      <c r="IO110" s="102"/>
      <c r="IP110" s="102"/>
      <c r="IQ110" s="102"/>
      <c r="IR110" s="102"/>
      <c r="IS110" s="102"/>
      <c r="IT110" s="102"/>
      <c r="IU110" s="102"/>
      <c r="IV110" s="102"/>
      <c r="IW110" s="102"/>
      <c r="IX110" s="102"/>
      <c r="IY110" s="102"/>
      <c r="IZ110" s="102"/>
      <c r="JA110" s="102"/>
      <c r="JB110" s="102"/>
      <c r="JC110" s="102"/>
      <c r="JD110" s="102"/>
      <c r="JE110" s="102"/>
      <c r="JF110" s="102"/>
      <c r="JG110" s="102"/>
      <c r="JH110" s="102"/>
      <c r="JI110" s="102"/>
      <c r="JJ110" s="102"/>
      <c r="JK110" s="102"/>
      <c r="JL110" s="102"/>
      <c r="JM110" s="102"/>
      <c r="JN110" s="102"/>
      <c r="JO110" s="102"/>
      <c r="JP110" s="102"/>
      <c r="JQ110" s="102"/>
      <c r="JR110" s="102"/>
      <c r="JS110" s="102"/>
      <c r="JT110" s="102"/>
      <c r="JU110" s="102"/>
      <c r="JV110" s="102"/>
      <c r="JW110" s="102"/>
      <c r="JX110" s="102"/>
      <c r="JY110" s="102"/>
      <c r="JZ110" s="102"/>
      <c r="KA110" s="102"/>
      <c r="KB110" s="102"/>
      <c r="KC110" s="102"/>
      <c r="KD110" s="102"/>
      <c r="KE110" s="102"/>
      <c r="KF110" s="102"/>
      <c r="KG110" s="102"/>
      <c r="KH110" s="102"/>
      <c r="KI110" s="102"/>
      <c r="KJ110" s="102"/>
      <c r="KK110" s="102"/>
      <c r="KL110" s="102"/>
      <c r="KM110" s="102"/>
      <c r="KN110" s="102"/>
      <c r="KO110" s="102"/>
      <c r="KP110" s="102"/>
      <c r="KQ110" s="102"/>
      <c r="KR110" s="102"/>
      <c r="KS110" s="102"/>
      <c r="KT110" s="102"/>
      <c r="KU110" s="102"/>
      <c r="KV110" s="102"/>
      <c r="KW110" s="102"/>
      <c r="KX110" s="102"/>
      <c r="KY110" s="102"/>
      <c r="KZ110" s="102"/>
      <c r="LA110" s="102"/>
      <c r="LB110" s="102"/>
      <c r="LC110" s="102"/>
      <c r="LD110" s="102"/>
      <c r="LE110" s="102"/>
      <c r="LF110" s="102"/>
      <c r="LG110" s="102"/>
      <c r="LH110" s="102"/>
      <c r="LI110" s="102"/>
      <c r="LJ110" s="102"/>
      <c r="LK110" s="102"/>
      <c r="LL110" s="102"/>
      <c r="LM110" s="102"/>
      <c r="LN110" s="102"/>
      <c r="LO110" s="102"/>
      <c r="LP110" s="102"/>
      <c r="LQ110" s="102"/>
      <c r="LR110" s="102"/>
      <c r="LS110" s="102"/>
      <c r="LT110" s="102"/>
      <c r="LU110" s="102"/>
      <c r="LV110" s="102"/>
      <c r="LW110" s="102"/>
      <c r="LX110" s="102"/>
      <c r="LY110" s="102"/>
    </row>
    <row r="111" ht="15" customHeight="1">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c r="EO111" s="102"/>
      <c r="EP111" s="102"/>
      <c r="EQ111" s="102"/>
      <c r="ER111" s="102"/>
      <c r="ES111" s="102"/>
      <c r="ET111" s="102"/>
      <c r="EU111" s="102"/>
      <c r="EV111" s="102"/>
      <c r="EW111" s="102"/>
      <c r="EX111" s="102"/>
      <c r="EY111" s="102"/>
      <c r="EZ111" s="102"/>
      <c r="FA111" s="102"/>
      <c r="FB111" s="102"/>
      <c r="FC111" s="102"/>
      <c r="FD111" s="102"/>
      <c r="FE111" s="102"/>
      <c r="FF111" s="102"/>
      <c r="FG111" s="102"/>
      <c r="FH111" s="102"/>
      <c r="FI111" s="102"/>
      <c r="FJ111" s="102"/>
      <c r="FK111" s="102"/>
      <c r="FL111" s="102"/>
      <c r="FM111" s="102"/>
      <c r="FN111" s="102"/>
      <c r="FO111" s="102"/>
      <c r="FP111" s="102"/>
      <c r="FQ111" s="102"/>
      <c r="FR111" s="102"/>
      <c r="FS111" s="102"/>
      <c r="FT111" s="102"/>
      <c r="FU111" s="102"/>
      <c r="FV111" s="102"/>
      <c r="FW111" s="102"/>
      <c r="FX111" s="102"/>
      <c r="FY111" s="102"/>
      <c r="FZ111" s="102"/>
      <c r="GA111" s="102"/>
      <c r="GB111" s="102"/>
      <c r="GC111" s="102"/>
      <c r="GD111" s="102"/>
      <c r="GE111" s="102"/>
      <c r="GF111" s="102"/>
      <c r="GG111" s="102"/>
      <c r="GH111" s="102"/>
      <c r="GI111" s="102"/>
      <c r="GJ111" s="102"/>
      <c r="GK111" s="102"/>
      <c r="GL111" s="102"/>
      <c r="GM111" s="102"/>
      <c r="GN111" s="102"/>
      <c r="GO111" s="102"/>
      <c r="GP111" s="102"/>
      <c r="GQ111" s="102"/>
      <c r="GR111" s="102"/>
      <c r="GS111" s="102"/>
      <c r="GT111" s="102"/>
      <c r="GU111" s="102"/>
      <c r="GV111" s="102"/>
      <c r="GW111" s="102"/>
      <c r="GX111" s="102"/>
      <c r="GY111" s="102"/>
      <c r="GZ111" s="102"/>
      <c r="HA111" s="102"/>
      <c r="HB111" s="102"/>
      <c r="HC111" s="102"/>
      <c r="HD111" s="102"/>
      <c r="HE111" s="102"/>
      <c r="HF111" s="102"/>
      <c r="HG111" s="102"/>
      <c r="HH111" s="102"/>
      <c r="HI111" s="102"/>
      <c r="HJ111" s="102"/>
      <c r="HK111" s="102"/>
      <c r="HL111" s="102"/>
      <c r="HM111" s="102"/>
      <c r="HN111" s="102"/>
      <c r="HO111" s="102"/>
      <c r="HP111" s="102"/>
      <c r="HQ111" s="102"/>
      <c r="HR111" s="102"/>
      <c r="HS111" s="102"/>
      <c r="HT111" s="102"/>
      <c r="HU111" s="102"/>
      <c r="HV111" s="102"/>
      <c r="HW111" s="102"/>
      <c r="HX111" s="102"/>
      <c r="HY111" s="102"/>
      <c r="HZ111" s="102"/>
      <c r="IA111" s="102"/>
      <c r="IB111" s="102"/>
      <c r="IC111" s="102"/>
      <c r="ID111" s="102"/>
      <c r="IE111" s="102"/>
      <c r="IF111" s="102"/>
      <c r="IG111" s="102"/>
      <c r="IH111" s="102"/>
      <c r="II111" s="102"/>
      <c r="IJ111" s="102"/>
      <c r="IK111" s="102"/>
      <c r="IL111" s="102"/>
      <c r="IM111" s="102"/>
      <c r="IN111" s="102"/>
      <c r="IO111" s="102"/>
      <c r="IP111" s="102"/>
      <c r="IQ111" s="102"/>
      <c r="IR111" s="102"/>
      <c r="IS111" s="102"/>
      <c r="IT111" s="102"/>
      <c r="IU111" s="102"/>
      <c r="IV111" s="102"/>
      <c r="IW111" s="102"/>
      <c r="IX111" s="102"/>
      <c r="IY111" s="102"/>
      <c r="IZ111" s="102"/>
      <c r="JA111" s="102"/>
      <c r="JB111" s="102"/>
      <c r="JC111" s="102"/>
      <c r="JD111" s="102"/>
      <c r="JE111" s="102"/>
      <c r="JF111" s="102"/>
      <c r="JG111" s="102"/>
      <c r="JH111" s="102"/>
      <c r="JI111" s="102"/>
      <c r="JJ111" s="102"/>
      <c r="JK111" s="102"/>
      <c r="JL111" s="102"/>
      <c r="JM111" s="102"/>
      <c r="JN111" s="102"/>
      <c r="JO111" s="102"/>
      <c r="JP111" s="102"/>
      <c r="JQ111" s="102"/>
      <c r="JR111" s="102"/>
      <c r="JS111" s="102"/>
      <c r="JT111" s="102"/>
      <c r="JU111" s="102"/>
      <c r="JV111" s="102"/>
      <c r="JW111" s="102"/>
      <c r="JX111" s="102"/>
      <c r="JY111" s="102"/>
      <c r="JZ111" s="102"/>
      <c r="KA111" s="102"/>
      <c r="KB111" s="102"/>
      <c r="KC111" s="102"/>
      <c r="KD111" s="102"/>
      <c r="KE111" s="102"/>
      <c r="KF111" s="102"/>
      <c r="KG111" s="102"/>
      <c r="KH111" s="102"/>
      <c r="KI111" s="102"/>
      <c r="KJ111" s="102"/>
      <c r="KK111" s="102"/>
      <c r="KL111" s="102"/>
      <c r="KM111" s="102"/>
      <c r="KN111" s="102"/>
      <c r="KO111" s="102"/>
      <c r="KP111" s="102"/>
      <c r="KQ111" s="102"/>
      <c r="KR111" s="102"/>
      <c r="KS111" s="102"/>
      <c r="KT111" s="102"/>
      <c r="KU111" s="102"/>
      <c r="KV111" s="102"/>
      <c r="KW111" s="102"/>
      <c r="KX111" s="102"/>
      <c r="KY111" s="102"/>
      <c r="KZ111" s="102"/>
      <c r="LA111" s="102"/>
      <c r="LB111" s="102"/>
      <c r="LC111" s="102"/>
      <c r="LD111" s="102"/>
      <c r="LE111" s="102"/>
      <c r="LF111" s="102"/>
      <c r="LG111" s="102"/>
      <c r="LH111" s="102"/>
      <c r="LI111" s="102"/>
      <c r="LJ111" s="102"/>
      <c r="LK111" s="102"/>
      <c r="LL111" s="102"/>
      <c r="LM111" s="102"/>
      <c r="LN111" s="102"/>
      <c r="LO111" s="102"/>
      <c r="LP111" s="102"/>
      <c r="LQ111" s="102"/>
      <c r="LR111" s="102"/>
      <c r="LS111" s="102"/>
      <c r="LT111" s="102"/>
      <c r="LU111" s="102"/>
      <c r="LV111" s="102"/>
      <c r="LW111" s="102"/>
      <c r="LX111" s="102"/>
      <c r="LY111" s="102"/>
    </row>
    <row r="112" ht="15" customHeight="1">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c r="EO112" s="102"/>
      <c r="EP112" s="102"/>
      <c r="EQ112" s="102"/>
      <c r="ER112" s="102"/>
      <c r="ES112" s="102"/>
      <c r="ET112" s="102"/>
      <c r="EU112" s="102"/>
      <c r="EV112" s="102"/>
      <c r="EW112" s="102"/>
      <c r="EX112" s="102"/>
      <c r="EY112" s="102"/>
      <c r="EZ112" s="102"/>
      <c r="FA112" s="102"/>
      <c r="FB112" s="102"/>
      <c r="FC112" s="102"/>
      <c r="FD112" s="102"/>
      <c r="FE112" s="102"/>
      <c r="FF112" s="102"/>
      <c r="FG112" s="102"/>
      <c r="FH112" s="102"/>
      <c r="FI112" s="102"/>
      <c r="FJ112" s="102"/>
      <c r="FK112" s="102"/>
      <c r="FL112" s="102"/>
      <c r="FM112" s="102"/>
      <c r="FN112" s="102"/>
      <c r="FO112" s="102"/>
      <c r="FP112" s="102"/>
      <c r="FQ112" s="102"/>
      <c r="FR112" s="102"/>
      <c r="FS112" s="102"/>
      <c r="FT112" s="102"/>
      <c r="FU112" s="102"/>
      <c r="FV112" s="102"/>
      <c r="FW112" s="102"/>
      <c r="FX112" s="102"/>
      <c r="FY112" s="102"/>
      <c r="FZ112" s="102"/>
      <c r="GA112" s="102"/>
      <c r="GB112" s="102"/>
      <c r="GC112" s="102"/>
      <c r="GD112" s="102"/>
      <c r="GE112" s="102"/>
      <c r="GF112" s="102"/>
      <c r="GG112" s="102"/>
      <c r="GH112" s="102"/>
      <c r="GI112" s="102"/>
      <c r="GJ112" s="102"/>
      <c r="GK112" s="102"/>
      <c r="GL112" s="102"/>
      <c r="GM112" s="102"/>
      <c r="GN112" s="102"/>
      <c r="GO112" s="102"/>
      <c r="GP112" s="102"/>
      <c r="GQ112" s="102"/>
      <c r="GR112" s="102"/>
      <c r="GS112" s="102"/>
      <c r="GT112" s="102"/>
      <c r="GU112" s="102"/>
      <c r="GV112" s="102"/>
      <c r="GW112" s="102"/>
      <c r="GX112" s="102"/>
      <c r="GY112" s="102"/>
      <c r="GZ112" s="102"/>
      <c r="HA112" s="102"/>
      <c r="HB112" s="102"/>
      <c r="HC112" s="102"/>
      <c r="HD112" s="102"/>
      <c r="HE112" s="102"/>
      <c r="HF112" s="102"/>
      <c r="HG112" s="102"/>
      <c r="HH112" s="102"/>
      <c r="HI112" s="102"/>
      <c r="HJ112" s="102"/>
      <c r="HK112" s="102"/>
      <c r="HL112" s="102"/>
      <c r="HM112" s="102"/>
      <c r="HN112" s="102"/>
      <c r="HO112" s="102"/>
      <c r="HP112" s="102"/>
      <c r="HQ112" s="102"/>
      <c r="HR112" s="102"/>
      <c r="HS112" s="102"/>
      <c r="HT112" s="102"/>
      <c r="HU112" s="102"/>
      <c r="HV112" s="102"/>
      <c r="HW112" s="102"/>
      <c r="HX112" s="102"/>
      <c r="HY112" s="102"/>
      <c r="HZ112" s="102"/>
      <c r="IA112" s="102"/>
      <c r="IB112" s="102"/>
      <c r="IC112" s="102"/>
      <c r="ID112" s="102"/>
      <c r="IE112" s="102"/>
      <c r="IF112" s="102"/>
      <c r="IG112" s="102"/>
      <c r="IH112" s="102"/>
      <c r="II112" s="102"/>
      <c r="IJ112" s="102"/>
      <c r="IK112" s="102"/>
      <c r="IL112" s="102"/>
      <c r="IM112" s="102"/>
      <c r="IN112" s="102"/>
      <c r="IO112" s="102"/>
      <c r="IP112" s="102"/>
      <c r="IQ112" s="102"/>
      <c r="IR112" s="102"/>
      <c r="IS112" s="102"/>
      <c r="IT112" s="102"/>
      <c r="IU112" s="102"/>
      <c r="IV112" s="102"/>
      <c r="IW112" s="102"/>
      <c r="IX112" s="102"/>
      <c r="IY112" s="102"/>
      <c r="IZ112" s="102"/>
      <c r="JA112" s="102"/>
      <c r="JB112" s="102"/>
      <c r="JC112" s="102"/>
      <c r="JD112" s="102"/>
      <c r="JE112" s="102"/>
      <c r="JF112" s="102"/>
      <c r="JG112" s="102"/>
      <c r="JH112" s="102"/>
      <c r="JI112" s="102"/>
      <c r="JJ112" s="102"/>
      <c r="JK112" s="102"/>
      <c r="JL112" s="102"/>
      <c r="JM112" s="102"/>
      <c r="JN112" s="102"/>
      <c r="JO112" s="102"/>
      <c r="JP112" s="102"/>
      <c r="JQ112" s="102"/>
      <c r="JR112" s="102"/>
      <c r="JS112" s="102"/>
      <c r="JT112" s="102"/>
      <c r="JU112" s="102"/>
      <c r="JV112" s="102"/>
      <c r="JW112" s="102"/>
      <c r="JX112" s="102"/>
      <c r="JY112" s="102"/>
      <c r="JZ112" s="102"/>
      <c r="KA112" s="102"/>
      <c r="KB112" s="102"/>
      <c r="KC112" s="102"/>
      <c r="KD112" s="102"/>
      <c r="KE112" s="102"/>
      <c r="KF112" s="102"/>
      <c r="KG112" s="102"/>
      <c r="KH112" s="102"/>
      <c r="KI112" s="102"/>
      <c r="KJ112" s="102"/>
      <c r="KK112" s="102"/>
      <c r="KL112" s="102"/>
      <c r="KM112" s="102"/>
      <c r="KN112" s="102"/>
      <c r="KO112" s="102"/>
      <c r="KP112" s="102"/>
      <c r="KQ112" s="102"/>
      <c r="KR112" s="102"/>
      <c r="KS112" s="102"/>
      <c r="KT112" s="102"/>
      <c r="KU112" s="102"/>
      <c r="KV112" s="102"/>
      <c r="KW112" s="102"/>
      <c r="KX112" s="102"/>
      <c r="KY112" s="102"/>
      <c r="KZ112" s="102"/>
      <c r="LA112" s="102"/>
      <c r="LB112" s="102"/>
      <c r="LC112" s="102"/>
      <c r="LD112" s="102"/>
      <c r="LE112" s="102"/>
      <c r="LF112" s="102"/>
      <c r="LG112" s="102"/>
      <c r="LH112" s="102"/>
      <c r="LI112" s="102"/>
      <c r="LJ112" s="102"/>
      <c r="LK112" s="102"/>
      <c r="LL112" s="102"/>
      <c r="LM112" s="102"/>
      <c r="LN112" s="102"/>
      <c r="LO112" s="102"/>
      <c r="LP112" s="102"/>
      <c r="LQ112" s="102"/>
      <c r="LR112" s="102"/>
      <c r="LS112" s="102"/>
      <c r="LT112" s="102"/>
      <c r="LU112" s="102"/>
      <c r="LV112" s="102"/>
      <c r="LW112" s="102"/>
      <c r="LX112" s="102"/>
      <c r="LY112" s="102"/>
    </row>
    <row r="113" ht="15" customHeight="1">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c r="EO113" s="102"/>
      <c r="EP113" s="102"/>
      <c r="EQ113" s="102"/>
      <c r="ER113" s="102"/>
      <c r="ES113" s="102"/>
      <c r="ET113" s="102"/>
      <c r="EU113" s="102"/>
      <c r="EV113" s="102"/>
      <c r="EW113" s="102"/>
      <c r="EX113" s="102"/>
      <c r="EY113" s="102"/>
      <c r="EZ113" s="102"/>
      <c r="FA113" s="102"/>
      <c r="FB113" s="102"/>
      <c r="FC113" s="102"/>
      <c r="FD113" s="102"/>
      <c r="FE113" s="102"/>
      <c r="FF113" s="102"/>
      <c r="FG113" s="102"/>
      <c r="FH113" s="102"/>
      <c r="FI113" s="102"/>
      <c r="FJ113" s="102"/>
      <c r="FK113" s="102"/>
      <c r="FL113" s="102"/>
      <c r="FM113" s="102"/>
      <c r="FN113" s="102"/>
      <c r="FO113" s="102"/>
      <c r="FP113" s="102"/>
      <c r="FQ113" s="102"/>
      <c r="FR113" s="102"/>
      <c r="FS113" s="102"/>
      <c r="FT113" s="102"/>
      <c r="FU113" s="102"/>
      <c r="FV113" s="102"/>
      <c r="FW113" s="102"/>
      <c r="FX113" s="102"/>
      <c r="FY113" s="102"/>
      <c r="FZ113" s="102"/>
      <c r="GA113" s="102"/>
      <c r="GB113" s="102"/>
      <c r="GC113" s="102"/>
      <c r="GD113" s="102"/>
      <c r="GE113" s="102"/>
      <c r="GF113" s="102"/>
      <c r="GG113" s="102"/>
      <c r="GH113" s="102"/>
      <c r="GI113" s="102"/>
      <c r="GJ113" s="102"/>
      <c r="GK113" s="102"/>
      <c r="GL113" s="102"/>
      <c r="GM113" s="102"/>
      <c r="GN113" s="102"/>
      <c r="GO113" s="102"/>
      <c r="GP113" s="102"/>
      <c r="GQ113" s="102"/>
      <c r="GR113" s="102"/>
      <c r="GS113" s="102"/>
      <c r="GT113" s="102"/>
      <c r="GU113" s="102"/>
      <c r="GV113" s="102"/>
      <c r="GW113" s="102"/>
      <c r="GX113" s="102"/>
      <c r="GY113" s="102"/>
      <c r="GZ113" s="102"/>
      <c r="HA113" s="102"/>
      <c r="HB113" s="102"/>
      <c r="HC113" s="102"/>
      <c r="HD113" s="102"/>
      <c r="HE113" s="102"/>
      <c r="HF113" s="102"/>
      <c r="HG113" s="102"/>
      <c r="HH113" s="102"/>
      <c r="HI113" s="102"/>
      <c r="HJ113" s="102"/>
      <c r="HK113" s="102"/>
      <c r="HL113" s="102"/>
      <c r="HM113" s="102"/>
      <c r="HN113" s="102"/>
      <c r="HO113" s="102"/>
      <c r="HP113" s="102"/>
      <c r="HQ113" s="102"/>
      <c r="HR113" s="102"/>
      <c r="HS113" s="102"/>
      <c r="HT113" s="102"/>
      <c r="HU113" s="102"/>
      <c r="HV113" s="102"/>
      <c r="HW113" s="102"/>
      <c r="HX113" s="102"/>
      <c r="HY113" s="102"/>
      <c r="HZ113" s="102"/>
      <c r="IA113" s="102"/>
      <c r="IB113" s="102"/>
      <c r="IC113" s="102"/>
      <c r="ID113" s="102"/>
      <c r="IE113" s="102"/>
      <c r="IF113" s="102"/>
      <c r="IG113" s="102"/>
      <c r="IH113" s="102"/>
      <c r="II113" s="102"/>
      <c r="IJ113" s="102"/>
      <c r="IK113" s="102"/>
      <c r="IL113" s="102"/>
      <c r="IM113" s="102"/>
      <c r="IN113" s="102"/>
      <c r="IO113" s="102"/>
      <c r="IP113" s="102"/>
      <c r="IQ113" s="102"/>
      <c r="IR113" s="102"/>
      <c r="IS113" s="102"/>
      <c r="IT113" s="102"/>
      <c r="IU113" s="102"/>
      <c r="IV113" s="102"/>
      <c r="IW113" s="102"/>
      <c r="IX113" s="102"/>
      <c r="IY113" s="102"/>
      <c r="IZ113" s="102"/>
      <c r="JA113" s="102"/>
      <c r="JB113" s="102"/>
      <c r="JC113" s="102"/>
      <c r="JD113" s="102"/>
      <c r="JE113" s="102"/>
      <c r="JF113" s="102"/>
      <c r="JG113" s="102"/>
      <c r="JH113" s="102"/>
      <c r="JI113" s="102"/>
      <c r="JJ113" s="102"/>
      <c r="JK113" s="102"/>
      <c r="JL113" s="102"/>
      <c r="JM113" s="102"/>
      <c r="JN113" s="102"/>
      <c r="JO113" s="102"/>
      <c r="JP113" s="102"/>
      <c r="JQ113" s="102"/>
      <c r="JR113" s="102"/>
      <c r="JS113" s="102"/>
      <c r="JT113" s="102"/>
      <c r="JU113" s="102"/>
      <c r="JV113" s="102"/>
      <c r="JW113" s="102"/>
      <c r="JX113" s="102"/>
      <c r="JY113" s="102"/>
      <c r="JZ113" s="102"/>
      <c r="KA113" s="102"/>
      <c r="KB113" s="102"/>
      <c r="KC113" s="102"/>
      <c r="KD113" s="102"/>
      <c r="KE113" s="102"/>
      <c r="KF113" s="102"/>
      <c r="KG113" s="102"/>
      <c r="KH113" s="102"/>
      <c r="KI113" s="102"/>
      <c r="KJ113" s="102"/>
      <c r="KK113" s="102"/>
      <c r="KL113" s="102"/>
      <c r="KM113" s="102"/>
      <c r="KN113" s="102"/>
      <c r="KO113" s="102"/>
      <c r="KP113" s="102"/>
      <c r="KQ113" s="102"/>
      <c r="KR113" s="102"/>
      <c r="KS113" s="102"/>
      <c r="KT113" s="102"/>
      <c r="KU113" s="102"/>
      <c r="KV113" s="102"/>
      <c r="KW113" s="102"/>
      <c r="KX113" s="102"/>
      <c r="KY113" s="102"/>
      <c r="KZ113" s="102"/>
      <c r="LA113" s="102"/>
      <c r="LB113" s="102"/>
      <c r="LC113" s="102"/>
      <c r="LD113" s="102"/>
      <c r="LE113" s="102"/>
      <c r="LF113" s="102"/>
      <c r="LG113" s="102"/>
      <c r="LH113" s="102"/>
      <c r="LI113" s="102"/>
      <c r="LJ113" s="102"/>
      <c r="LK113" s="102"/>
      <c r="LL113" s="102"/>
      <c r="LM113" s="102"/>
      <c r="LN113" s="102"/>
      <c r="LO113" s="102"/>
      <c r="LP113" s="102"/>
      <c r="LQ113" s="102"/>
      <c r="LR113" s="102"/>
      <c r="LS113" s="102"/>
      <c r="LT113" s="102"/>
      <c r="LU113" s="102"/>
      <c r="LV113" s="102"/>
      <c r="LW113" s="102"/>
      <c r="LX113" s="102"/>
      <c r="LY113" s="102"/>
    </row>
    <row r="114" ht="15" customHeight="1">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c r="EO114" s="102"/>
      <c r="EP114" s="102"/>
      <c r="EQ114" s="102"/>
      <c r="ER114" s="102"/>
      <c r="ES114" s="102"/>
      <c r="ET114" s="102"/>
      <c r="EU114" s="102"/>
      <c r="EV114" s="102"/>
      <c r="EW114" s="102"/>
      <c r="EX114" s="102"/>
      <c r="EY114" s="102"/>
      <c r="EZ114" s="102"/>
      <c r="FA114" s="102"/>
      <c r="FB114" s="102"/>
      <c r="FC114" s="102"/>
      <c r="FD114" s="102"/>
      <c r="FE114" s="102"/>
      <c r="FF114" s="102"/>
      <c r="FG114" s="102"/>
      <c r="FH114" s="102"/>
      <c r="FI114" s="102"/>
      <c r="FJ114" s="102"/>
      <c r="FK114" s="102"/>
      <c r="FL114" s="102"/>
      <c r="FM114" s="102"/>
      <c r="FN114" s="102"/>
      <c r="FO114" s="102"/>
      <c r="FP114" s="102"/>
      <c r="FQ114" s="102"/>
      <c r="FR114" s="102"/>
      <c r="FS114" s="102"/>
      <c r="FT114" s="102"/>
      <c r="FU114" s="102"/>
      <c r="FV114" s="102"/>
      <c r="FW114" s="102"/>
      <c r="FX114" s="102"/>
      <c r="FY114" s="102"/>
      <c r="FZ114" s="102"/>
      <c r="GA114" s="102"/>
      <c r="GB114" s="102"/>
      <c r="GC114" s="102"/>
      <c r="GD114" s="102"/>
      <c r="GE114" s="102"/>
      <c r="GF114" s="102"/>
      <c r="GG114" s="102"/>
      <c r="GH114" s="102"/>
      <c r="GI114" s="102"/>
      <c r="GJ114" s="102"/>
      <c r="GK114" s="102"/>
      <c r="GL114" s="102"/>
      <c r="GM114" s="102"/>
      <c r="GN114" s="102"/>
      <c r="GO114" s="102"/>
      <c r="GP114" s="102"/>
      <c r="GQ114" s="102"/>
      <c r="GR114" s="102"/>
      <c r="GS114" s="102"/>
      <c r="GT114" s="102"/>
      <c r="GU114" s="102"/>
      <c r="GV114" s="102"/>
      <c r="GW114" s="102"/>
      <c r="GX114" s="102"/>
      <c r="GY114" s="102"/>
      <c r="GZ114" s="102"/>
      <c r="HA114" s="102"/>
      <c r="HB114" s="102"/>
      <c r="HC114" s="102"/>
      <c r="HD114" s="102"/>
      <c r="HE114" s="102"/>
      <c r="HF114" s="102"/>
      <c r="HG114" s="102"/>
      <c r="HH114" s="102"/>
      <c r="HI114" s="102"/>
      <c r="HJ114" s="102"/>
      <c r="HK114" s="102"/>
      <c r="HL114" s="102"/>
      <c r="HM114" s="102"/>
      <c r="HN114" s="102"/>
      <c r="HO114" s="102"/>
      <c r="HP114" s="102"/>
      <c r="HQ114" s="102"/>
      <c r="HR114" s="102"/>
      <c r="HS114" s="102"/>
      <c r="HT114" s="102"/>
      <c r="HU114" s="102"/>
      <c r="HV114" s="102"/>
      <c r="HW114" s="102"/>
      <c r="HX114" s="102"/>
      <c r="HY114" s="102"/>
      <c r="HZ114" s="102"/>
      <c r="IA114" s="102"/>
      <c r="IB114" s="102"/>
      <c r="IC114" s="102"/>
      <c r="ID114" s="102"/>
      <c r="IE114" s="102"/>
      <c r="IF114" s="102"/>
      <c r="IG114" s="102"/>
      <c r="IH114" s="102"/>
      <c r="II114" s="102"/>
      <c r="IJ114" s="102"/>
      <c r="IK114" s="102"/>
      <c r="IL114" s="102"/>
      <c r="IM114" s="102"/>
      <c r="IN114" s="102"/>
      <c r="IO114" s="102"/>
      <c r="IP114" s="102"/>
      <c r="IQ114" s="102"/>
      <c r="IR114" s="102"/>
      <c r="IS114" s="102"/>
      <c r="IT114" s="102"/>
      <c r="IU114" s="102"/>
      <c r="IV114" s="102"/>
      <c r="IW114" s="102"/>
      <c r="IX114" s="102"/>
      <c r="IY114" s="102"/>
      <c r="IZ114" s="102"/>
      <c r="JA114" s="102"/>
      <c r="JB114" s="102"/>
      <c r="JC114" s="102"/>
      <c r="JD114" s="102"/>
      <c r="JE114" s="102"/>
      <c r="JF114" s="102"/>
      <c r="JG114" s="102"/>
      <c r="JH114" s="102"/>
      <c r="JI114" s="102"/>
      <c r="JJ114" s="102"/>
      <c r="JK114" s="102"/>
      <c r="JL114" s="102"/>
      <c r="JM114" s="102"/>
      <c r="JN114" s="102"/>
      <c r="JO114" s="102"/>
      <c r="JP114" s="102"/>
      <c r="JQ114" s="102"/>
      <c r="JR114" s="102"/>
      <c r="JS114" s="102"/>
      <c r="JT114" s="102"/>
      <c r="JU114" s="102"/>
      <c r="JV114" s="102"/>
      <c r="JW114" s="102"/>
      <c r="JX114" s="102"/>
      <c r="JY114" s="102"/>
      <c r="JZ114" s="102"/>
      <c r="KA114" s="102"/>
      <c r="KB114" s="102"/>
      <c r="KC114" s="102"/>
      <c r="KD114" s="102"/>
      <c r="KE114" s="102"/>
      <c r="KF114" s="102"/>
      <c r="KG114" s="102"/>
      <c r="KH114" s="102"/>
      <c r="KI114" s="102"/>
      <c r="KJ114" s="102"/>
      <c r="KK114" s="102"/>
      <c r="KL114" s="102"/>
      <c r="KM114" s="102"/>
      <c r="KN114" s="102"/>
      <c r="KO114" s="102"/>
      <c r="KP114" s="102"/>
      <c r="KQ114" s="102"/>
      <c r="KR114" s="102"/>
      <c r="KS114" s="102"/>
      <c r="KT114" s="102"/>
      <c r="KU114" s="102"/>
      <c r="KV114" s="102"/>
      <c r="KW114" s="102"/>
      <c r="KX114" s="102"/>
      <c r="KY114" s="102"/>
      <c r="KZ114" s="102"/>
      <c r="LA114" s="102"/>
      <c r="LB114" s="102"/>
      <c r="LC114" s="102"/>
      <c r="LD114" s="102"/>
      <c r="LE114" s="102"/>
      <c r="LF114" s="102"/>
      <c r="LG114" s="102"/>
      <c r="LH114" s="102"/>
      <c r="LI114" s="102"/>
      <c r="LJ114" s="102"/>
      <c r="LK114" s="102"/>
      <c r="LL114" s="102"/>
      <c r="LM114" s="102"/>
      <c r="LN114" s="102"/>
      <c r="LO114" s="102"/>
      <c r="LP114" s="102"/>
      <c r="LQ114" s="102"/>
      <c r="LR114" s="102"/>
      <c r="LS114" s="102"/>
      <c r="LT114" s="102"/>
      <c r="LU114" s="102"/>
      <c r="LV114" s="102"/>
      <c r="LW114" s="102"/>
      <c r="LX114" s="102"/>
      <c r="LY114" s="102"/>
    </row>
    <row r="115" ht="15" customHeight="1">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c r="EO115" s="102"/>
      <c r="EP115" s="102"/>
      <c r="EQ115" s="102"/>
      <c r="ER115" s="102"/>
      <c r="ES115" s="102"/>
      <c r="ET115" s="102"/>
      <c r="EU115" s="102"/>
      <c r="EV115" s="102"/>
      <c r="EW115" s="102"/>
      <c r="EX115" s="102"/>
      <c r="EY115" s="102"/>
      <c r="EZ115" s="102"/>
      <c r="FA115" s="102"/>
      <c r="FB115" s="102"/>
      <c r="FC115" s="102"/>
      <c r="FD115" s="102"/>
      <c r="FE115" s="102"/>
      <c r="FF115" s="102"/>
      <c r="FG115" s="102"/>
      <c r="FH115" s="102"/>
      <c r="FI115" s="102"/>
      <c r="FJ115" s="102"/>
      <c r="FK115" s="102"/>
      <c r="FL115" s="102"/>
      <c r="FM115" s="102"/>
      <c r="FN115" s="102"/>
      <c r="FO115" s="102"/>
      <c r="FP115" s="102"/>
      <c r="FQ115" s="102"/>
      <c r="FR115" s="102"/>
      <c r="FS115" s="102"/>
      <c r="FT115" s="102"/>
      <c r="FU115" s="102"/>
      <c r="FV115" s="102"/>
      <c r="FW115" s="102"/>
      <c r="FX115" s="102"/>
      <c r="FY115" s="102"/>
      <c r="FZ115" s="102"/>
      <c r="GA115" s="102"/>
      <c r="GB115" s="102"/>
      <c r="GC115" s="102"/>
      <c r="GD115" s="102"/>
      <c r="GE115" s="102"/>
      <c r="GF115" s="102"/>
      <c r="GG115" s="102"/>
      <c r="GH115" s="102"/>
      <c r="GI115" s="102"/>
      <c r="GJ115" s="102"/>
      <c r="GK115" s="102"/>
      <c r="GL115" s="102"/>
      <c r="GM115" s="102"/>
      <c r="GN115" s="102"/>
      <c r="GO115" s="102"/>
      <c r="GP115" s="102"/>
      <c r="GQ115" s="102"/>
      <c r="GR115" s="102"/>
      <c r="GS115" s="102"/>
      <c r="GT115" s="102"/>
      <c r="GU115" s="102"/>
      <c r="GV115" s="102"/>
      <c r="GW115" s="102"/>
      <c r="GX115" s="102"/>
      <c r="GY115" s="102"/>
      <c r="GZ115" s="102"/>
      <c r="HA115" s="102"/>
      <c r="HB115" s="102"/>
      <c r="HC115" s="102"/>
      <c r="HD115" s="102"/>
      <c r="HE115" s="102"/>
      <c r="HF115" s="102"/>
      <c r="HG115" s="102"/>
      <c r="HH115" s="102"/>
      <c r="HI115" s="102"/>
      <c r="HJ115" s="102"/>
      <c r="HK115" s="102"/>
      <c r="HL115" s="102"/>
      <c r="HM115" s="102"/>
      <c r="HN115" s="102"/>
      <c r="HO115" s="102"/>
      <c r="HP115" s="102"/>
      <c r="HQ115" s="102"/>
      <c r="HR115" s="102"/>
      <c r="HS115" s="102"/>
      <c r="HT115" s="102"/>
      <c r="HU115" s="102"/>
      <c r="HV115" s="102"/>
      <c r="HW115" s="102"/>
      <c r="HX115" s="102"/>
      <c r="HY115" s="102"/>
      <c r="HZ115" s="102"/>
      <c r="IA115" s="102"/>
      <c r="IB115" s="102"/>
      <c r="IC115" s="102"/>
      <c r="ID115" s="102"/>
      <c r="IE115" s="102"/>
      <c r="IF115" s="102"/>
      <c r="IG115" s="102"/>
      <c r="IH115" s="102"/>
      <c r="II115" s="102"/>
      <c r="IJ115" s="102"/>
      <c r="IK115" s="102"/>
      <c r="IL115" s="102"/>
      <c r="IM115" s="102"/>
      <c r="IN115" s="102"/>
      <c r="IO115" s="102"/>
      <c r="IP115" s="102"/>
      <c r="IQ115" s="102"/>
      <c r="IR115" s="102"/>
      <c r="IS115" s="102"/>
      <c r="IT115" s="102"/>
      <c r="IU115" s="102"/>
      <c r="IV115" s="102"/>
      <c r="IW115" s="102"/>
      <c r="IX115" s="102"/>
      <c r="IY115" s="102"/>
      <c r="IZ115" s="102"/>
      <c r="JA115" s="102"/>
      <c r="JB115" s="102"/>
      <c r="JC115" s="102"/>
      <c r="JD115" s="102"/>
      <c r="JE115" s="102"/>
      <c r="JF115" s="102"/>
      <c r="JG115" s="102"/>
      <c r="JH115" s="102"/>
      <c r="JI115" s="102"/>
      <c r="JJ115" s="102"/>
      <c r="JK115" s="102"/>
      <c r="JL115" s="102"/>
      <c r="JM115" s="102"/>
      <c r="JN115" s="102"/>
      <c r="JO115" s="102"/>
      <c r="JP115" s="102"/>
      <c r="JQ115" s="102"/>
      <c r="JR115" s="102"/>
      <c r="JS115" s="102"/>
      <c r="JT115" s="102"/>
      <c r="JU115" s="102"/>
      <c r="JV115" s="102"/>
      <c r="JW115" s="102"/>
      <c r="JX115" s="102"/>
      <c r="JY115" s="102"/>
      <c r="JZ115" s="102"/>
      <c r="KA115" s="102"/>
      <c r="KB115" s="102"/>
      <c r="KC115" s="102"/>
      <c r="KD115" s="102"/>
      <c r="KE115" s="102"/>
      <c r="KF115" s="102"/>
      <c r="KG115" s="102"/>
      <c r="KH115" s="102"/>
      <c r="KI115" s="102"/>
      <c r="KJ115" s="102"/>
      <c r="KK115" s="102"/>
      <c r="KL115" s="102"/>
      <c r="KM115" s="102"/>
      <c r="KN115" s="102"/>
      <c r="KO115" s="102"/>
      <c r="KP115" s="102"/>
      <c r="KQ115" s="102"/>
      <c r="KR115" s="102"/>
      <c r="KS115" s="102"/>
      <c r="KT115" s="102"/>
      <c r="KU115" s="102"/>
      <c r="KV115" s="102"/>
      <c r="KW115" s="102"/>
      <c r="KX115" s="102"/>
      <c r="KY115" s="102"/>
      <c r="KZ115" s="102"/>
      <c r="LA115" s="102"/>
      <c r="LB115" s="102"/>
      <c r="LC115" s="102"/>
      <c r="LD115" s="102"/>
      <c r="LE115" s="102"/>
      <c r="LF115" s="102"/>
      <c r="LG115" s="102"/>
      <c r="LH115" s="102"/>
      <c r="LI115" s="102"/>
      <c r="LJ115" s="102"/>
      <c r="LK115" s="102"/>
      <c r="LL115" s="102"/>
      <c r="LM115" s="102"/>
      <c r="LN115" s="102"/>
      <c r="LO115" s="102"/>
      <c r="LP115" s="102"/>
      <c r="LQ115" s="102"/>
      <c r="LR115" s="102"/>
      <c r="LS115" s="102"/>
      <c r="LT115" s="102"/>
      <c r="LU115" s="102"/>
      <c r="LV115" s="102"/>
      <c r="LW115" s="102"/>
      <c r="LX115" s="102"/>
      <c r="LY115" s="102"/>
    </row>
    <row r="116" ht="15" customHeight="1">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c r="EO116" s="102"/>
      <c r="EP116" s="102"/>
      <c r="EQ116" s="102"/>
      <c r="ER116" s="102"/>
      <c r="ES116" s="102"/>
      <c r="ET116" s="102"/>
      <c r="EU116" s="102"/>
      <c r="EV116" s="102"/>
      <c r="EW116" s="102"/>
      <c r="EX116" s="102"/>
      <c r="EY116" s="102"/>
      <c r="EZ116" s="102"/>
      <c r="FA116" s="102"/>
      <c r="FB116" s="102"/>
      <c r="FC116" s="102"/>
      <c r="FD116" s="102"/>
      <c r="FE116" s="102"/>
      <c r="FF116" s="102"/>
      <c r="FG116" s="102"/>
      <c r="FH116" s="102"/>
      <c r="FI116" s="102"/>
      <c r="FJ116" s="102"/>
      <c r="FK116" s="102"/>
      <c r="FL116" s="102"/>
      <c r="FM116" s="102"/>
      <c r="FN116" s="102"/>
      <c r="FO116" s="102"/>
      <c r="FP116" s="102"/>
      <c r="FQ116" s="102"/>
      <c r="FR116" s="102"/>
      <c r="FS116" s="102"/>
      <c r="FT116" s="102"/>
      <c r="FU116" s="102"/>
      <c r="FV116" s="102"/>
      <c r="FW116" s="102"/>
      <c r="FX116" s="102"/>
      <c r="FY116" s="102"/>
      <c r="FZ116" s="102"/>
      <c r="GA116" s="102"/>
      <c r="GB116" s="102"/>
      <c r="GC116" s="102"/>
      <c r="GD116" s="102"/>
      <c r="GE116" s="102"/>
      <c r="GF116" s="102"/>
      <c r="GG116" s="102"/>
      <c r="GH116" s="102"/>
      <c r="GI116" s="102"/>
      <c r="GJ116" s="102"/>
      <c r="GK116" s="102"/>
      <c r="GL116" s="102"/>
      <c r="GM116" s="102"/>
      <c r="GN116" s="102"/>
      <c r="GO116" s="102"/>
      <c r="GP116" s="102"/>
      <c r="GQ116" s="102"/>
      <c r="GR116" s="102"/>
      <c r="GS116" s="102"/>
      <c r="GT116" s="102"/>
      <c r="GU116" s="102"/>
      <c r="GV116" s="102"/>
      <c r="GW116" s="102"/>
      <c r="GX116" s="102"/>
      <c r="GY116" s="102"/>
      <c r="GZ116" s="102"/>
      <c r="HA116" s="102"/>
      <c r="HB116" s="102"/>
      <c r="HC116" s="102"/>
      <c r="HD116" s="102"/>
      <c r="HE116" s="102"/>
      <c r="HF116" s="102"/>
      <c r="HG116" s="102"/>
      <c r="HH116" s="102"/>
      <c r="HI116" s="102"/>
      <c r="HJ116" s="102"/>
      <c r="HK116" s="102"/>
      <c r="HL116" s="102"/>
      <c r="HM116" s="102"/>
      <c r="HN116" s="102"/>
      <c r="HO116" s="102"/>
      <c r="HP116" s="102"/>
      <c r="HQ116" s="102"/>
      <c r="HR116" s="102"/>
      <c r="HS116" s="102"/>
      <c r="HT116" s="102"/>
      <c r="HU116" s="102"/>
      <c r="HV116" s="102"/>
      <c r="HW116" s="102"/>
      <c r="HX116" s="102"/>
      <c r="HY116" s="102"/>
      <c r="HZ116" s="102"/>
      <c r="IA116" s="102"/>
      <c r="IB116" s="102"/>
      <c r="IC116" s="102"/>
      <c r="ID116" s="102"/>
      <c r="IE116" s="102"/>
      <c r="IF116" s="102"/>
      <c r="IG116" s="102"/>
      <c r="IH116" s="102"/>
      <c r="II116" s="102"/>
      <c r="IJ116" s="102"/>
      <c r="IK116" s="102"/>
      <c r="IL116" s="102"/>
      <c r="IM116" s="102"/>
      <c r="IN116" s="102"/>
      <c r="IO116" s="102"/>
      <c r="IP116" s="102"/>
      <c r="IQ116" s="102"/>
      <c r="IR116" s="102"/>
      <c r="IS116" s="102"/>
      <c r="IT116" s="102"/>
      <c r="IU116" s="102"/>
      <c r="IV116" s="102"/>
      <c r="IW116" s="102"/>
      <c r="IX116" s="102"/>
      <c r="IY116" s="102"/>
      <c r="IZ116" s="102"/>
      <c r="JA116" s="102"/>
      <c r="JB116" s="102"/>
      <c r="JC116" s="102"/>
      <c r="JD116" s="102"/>
      <c r="JE116" s="102"/>
      <c r="JF116" s="102"/>
      <c r="JG116" s="102"/>
      <c r="JH116" s="102"/>
      <c r="JI116" s="102"/>
      <c r="JJ116" s="102"/>
      <c r="JK116" s="102"/>
      <c r="JL116" s="102"/>
      <c r="JM116" s="102"/>
      <c r="JN116" s="102"/>
      <c r="JO116" s="102"/>
      <c r="JP116" s="102"/>
      <c r="JQ116" s="102"/>
      <c r="JR116" s="102"/>
      <c r="JS116" s="102"/>
      <c r="JT116" s="102"/>
      <c r="JU116" s="102"/>
      <c r="JV116" s="102"/>
      <c r="JW116" s="102"/>
      <c r="JX116" s="102"/>
      <c r="JY116" s="102"/>
      <c r="JZ116" s="102"/>
      <c r="KA116" s="102"/>
      <c r="KB116" s="102"/>
      <c r="KC116" s="102"/>
      <c r="KD116" s="102"/>
      <c r="KE116" s="102"/>
      <c r="KF116" s="102"/>
      <c r="KG116" s="102"/>
      <c r="KH116" s="102"/>
      <c r="KI116" s="102"/>
      <c r="KJ116" s="102"/>
      <c r="KK116" s="102"/>
      <c r="KL116" s="102"/>
      <c r="KM116" s="102"/>
      <c r="KN116" s="102"/>
      <c r="KO116" s="102"/>
      <c r="KP116" s="102"/>
      <c r="KQ116" s="102"/>
      <c r="KR116" s="102"/>
      <c r="KS116" s="102"/>
      <c r="KT116" s="102"/>
      <c r="KU116" s="102"/>
      <c r="KV116" s="102"/>
      <c r="KW116" s="102"/>
      <c r="KX116" s="102"/>
      <c r="KY116" s="102"/>
      <c r="KZ116" s="102"/>
      <c r="LA116" s="102"/>
      <c r="LB116" s="102"/>
      <c r="LC116" s="102"/>
      <c r="LD116" s="102"/>
      <c r="LE116" s="102"/>
      <c r="LF116" s="102"/>
      <c r="LG116" s="102"/>
      <c r="LH116" s="102"/>
      <c r="LI116" s="102"/>
      <c r="LJ116" s="102"/>
      <c r="LK116" s="102"/>
      <c r="LL116" s="102"/>
      <c r="LM116" s="102"/>
      <c r="LN116" s="102"/>
      <c r="LO116" s="102"/>
      <c r="LP116" s="102"/>
      <c r="LQ116" s="102"/>
      <c r="LR116" s="102"/>
      <c r="LS116" s="102"/>
      <c r="LT116" s="102"/>
      <c r="LU116" s="102"/>
      <c r="LV116" s="102"/>
      <c r="LW116" s="102"/>
      <c r="LX116" s="102"/>
      <c r="LY116" s="102"/>
    </row>
    <row r="117" ht="15" customHeight="1">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c r="EO117" s="102"/>
      <c r="EP117" s="102"/>
      <c r="EQ117" s="102"/>
      <c r="ER117" s="102"/>
      <c r="ES117" s="102"/>
      <c r="ET117" s="102"/>
      <c r="EU117" s="102"/>
      <c r="EV117" s="102"/>
      <c r="EW117" s="102"/>
      <c r="EX117" s="102"/>
      <c r="EY117" s="102"/>
      <c r="EZ117" s="102"/>
      <c r="FA117" s="102"/>
      <c r="FB117" s="102"/>
      <c r="FC117" s="102"/>
      <c r="FD117" s="102"/>
      <c r="FE117" s="102"/>
      <c r="FF117" s="102"/>
      <c r="FG117" s="102"/>
      <c r="FH117" s="102"/>
      <c r="FI117" s="102"/>
      <c r="FJ117" s="102"/>
      <c r="FK117" s="102"/>
      <c r="FL117" s="102"/>
      <c r="FM117" s="102"/>
      <c r="FN117" s="102"/>
      <c r="FO117" s="102"/>
      <c r="FP117" s="102"/>
      <c r="FQ117" s="102"/>
      <c r="FR117" s="102"/>
      <c r="FS117" s="102"/>
      <c r="FT117" s="102"/>
      <c r="FU117" s="102"/>
      <c r="FV117" s="102"/>
      <c r="FW117" s="102"/>
      <c r="FX117" s="102"/>
      <c r="FY117" s="102"/>
      <c r="FZ117" s="102"/>
      <c r="GA117" s="102"/>
      <c r="GB117" s="102"/>
      <c r="GC117" s="102"/>
      <c r="GD117" s="102"/>
      <c r="GE117" s="102"/>
      <c r="GF117" s="102"/>
      <c r="GG117" s="102"/>
      <c r="GH117" s="102"/>
      <c r="GI117" s="102"/>
      <c r="GJ117" s="102"/>
      <c r="GK117" s="102"/>
      <c r="GL117" s="102"/>
      <c r="GM117" s="102"/>
      <c r="GN117" s="102"/>
      <c r="GO117" s="102"/>
      <c r="GP117" s="102"/>
      <c r="GQ117" s="102"/>
      <c r="GR117" s="102"/>
      <c r="GS117" s="102"/>
      <c r="GT117" s="102"/>
      <c r="GU117" s="102"/>
      <c r="GV117" s="102"/>
      <c r="GW117" s="102"/>
      <c r="GX117" s="102"/>
      <c r="GY117" s="102"/>
      <c r="GZ117" s="102"/>
      <c r="HA117" s="102"/>
      <c r="HB117" s="102"/>
      <c r="HC117" s="102"/>
      <c r="HD117" s="102"/>
      <c r="HE117" s="102"/>
      <c r="HF117" s="102"/>
      <c r="HG117" s="102"/>
      <c r="HH117" s="102"/>
      <c r="HI117" s="102"/>
      <c r="HJ117" s="102"/>
      <c r="HK117" s="102"/>
      <c r="HL117" s="102"/>
      <c r="HM117" s="102"/>
      <c r="HN117" s="102"/>
      <c r="HO117" s="102"/>
      <c r="HP117" s="102"/>
      <c r="HQ117" s="102"/>
      <c r="HR117" s="102"/>
      <c r="HS117" s="102"/>
      <c r="HT117" s="102"/>
      <c r="HU117" s="102"/>
      <c r="HV117" s="102"/>
      <c r="HW117" s="102"/>
      <c r="HX117" s="102"/>
      <c r="HY117" s="102"/>
      <c r="HZ117" s="102"/>
      <c r="IA117" s="102"/>
      <c r="IB117" s="102"/>
      <c r="IC117" s="102"/>
      <c r="ID117" s="102"/>
      <c r="IE117" s="102"/>
      <c r="IF117" s="102"/>
      <c r="IG117" s="102"/>
      <c r="IH117" s="102"/>
      <c r="II117" s="102"/>
      <c r="IJ117" s="102"/>
      <c r="IK117" s="102"/>
      <c r="IL117" s="102"/>
      <c r="IM117" s="102"/>
      <c r="IN117" s="102"/>
      <c r="IO117" s="102"/>
      <c r="IP117" s="102"/>
      <c r="IQ117" s="102"/>
      <c r="IR117" s="102"/>
      <c r="IS117" s="102"/>
      <c r="IT117" s="102"/>
      <c r="IU117" s="102"/>
      <c r="IV117" s="102"/>
      <c r="IW117" s="102"/>
      <c r="IX117" s="102"/>
      <c r="IY117" s="102"/>
      <c r="IZ117" s="102"/>
      <c r="JA117" s="102"/>
      <c r="JB117" s="102"/>
      <c r="JC117" s="102"/>
      <c r="JD117" s="102"/>
      <c r="JE117" s="102"/>
      <c r="JF117" s="102"/>
      <c r="JG117" s="102"/>
      <c r="JH117" s="102"/>
      <c r="JI117" s="102"/>
      <c r="JJ117" s="102"/>
      <c r="JK117" s="102"/>
      <c r="JL117" s="102"/>
      <c r="JM117" s="102"/>
      <c r="JN117" s="102"/>
      <c r="JO117" s="102"/>
      <c r="JP117" s="102"/>
      <c r="JQ117" s="102"/>
      <c r="JR117" s="102"/>
      <c r="JS117" s="102"/>
      <c r="JT117" s="102"/>
      <c r="JU117" s="102"/>
      <c r="JV117" s="102"/>
      <c r="JW117" s="102"/>
      <c r="JX117" s="102"/>
      <c r="JY117" s="102"/>
      <c r="JZ117" s="102"/>
      <c r="KA117" s="102"/>
      <c r="KB117" s="102"/>
      <c r="KC117" s="102"/>
      <c r="KD117" s="102"/>
      <c r="KE117" s="102"/>
      <c r="KF117" s="102"/>
      <c r="KG117" s="102"/>
      <c r="KH117" s="102"/>
      <c r="KI117" s="102"/>
      <c r="KJ117" s="102"/>
      <c r="KK117" s="102"/>
      <c r="KL117" s="102"/>
      <c r="KM117" s="102"/>
      <c r="KN117" s="102"/>
      <c r="KO117" s="102"/>
      <c r="KP117" s="102"/>
      <c r="KQ117" s="102"/>
      <c r="KR117" s="102"/>
      <c r="KS117" s="102"/>
      <c r="KT117" s="102"/>
      <c r="KU117" s="102"/>
      <c r="KV117" s="102"/>
      <c r="KW117" s="102"/>
      <c r="KX117" s="102"/>
      <c r="KY117" s="102"/>
      <c r="KZ117" s="102"/>
      <c r="LA117" s="102"/>
      <c r="LB117" s="102"/>
      <c r="LC117" s="102"/>
      <c r="LD117" s="102"/>
      <c r="LE117" s="102"/>
      <c r="LF117" s="102"/>
      <c r="LG117" s="102"/>
      <c r="LH117" s="102"/>
      <c r="LI117" s="102"/>
      <c r="LJ117" s="102"/>
      <c r="LK117" s="102"/>
      <c r="LL117" s="102"/>
      <c r="LM117" s="102"/>
      <c r="LN117" s="102"/>
      <c r="LO117" s="102"/>
      <c r="LP117" s="102"/>
      <c r="LQ117" s="102"/>
      <c r="LR117" s="102"/>
      <c r="LS117" s="102"/>
      <c r="LT117" s="102"/>
      <c r="LU117" s="102"/>
      <c r="LV117" s="102"/>
      <c r="LW117" s="102"/>
      <c r="LX117" s="102"/>
      <c r="LY117" s="102"/>
    </row>
    <row r="118" ht="15" customHeight="1">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c r="EO118" s="102"/>
      <c r="EP118" s="102"/>
      <c r="EQ118" s="102"/>
      <c r="ER118" s="102"/>
      <c r="ES118" s="102"/>
      <c r="ET118" s="102"/>
      <c r="EU118" s="102"/>
      <c r="EV118" s="102"/>
      <c r="EW118" s="102"/>
      <c r="EX118" s="102"/>
      <c r="EY118" s="102"/>
      <c r="EZ118" s="102"/>
      <c r="FA118" s="102"/>
      <c r="FB118" s="102"/>
      <c r="FC118" s="102"/>
      <c r="FD118" s="102"/>
      <c r="FE118" s="102"/>
      <c r="FF118" s="102"/>
      <c r="FG118" s="102"/>
      <c r="FH118" s="102"/>
      <c r="FI118" s="102"/>
      <c r="FJ118" s="102"/>
      <c r="FK118" s="102"/>
      <c r="FL118" s="102"/>
      <c r="FM118" s="102"/>
      <c r="FN118" s="102"/>
      <c r="FO118" s="102"/>
      <c r="FP118" s="102"/>
      <c r="FQ118" s="102"/>
      <c r="FR118" s="102"/>
      <c r="FS118" s="102"/>
      <c r="FT118" s="102"/>
      <c r="FU118" s="102"/>
      <c r="FV118" s="102"/>
      <c r="FW118" s="102"/>
      <c r="FX118" s="102"/>
      <c r="FY118" s="102"/>
      <c r="FZ118" s="102"/>
      <c r="GA118" s="102"/>
      <c r="GB118" s="102"/>
      <c r="GC118" s="102"/>
      <c r="GD118" s="102"/>
      <c r="GE118" s="102"/>
      <c r="GF118" s="102"/>
      <c r="GG118" s="102"/>
      <c r="GH118" s="102"/>
      <c r="GI118" s="102"/>
      <c r="GJ118" s="102"/>
      <c r="GK118" s="102"/>
      <c r="GL118" s="102"/>
      <c r="GM118" s="102"/>
      <c r="GN118" s="102"/>
      <c r="GO118" s="102"/>
      <c r="GP118" s="102"/>
      <c r="GQ118" s="102"/>
      <c r="GR118" s="102"/>
      <c r="GS118" s="102"/>
      <c r="GT118" s="102"/>
      <c r="GU118" s="102"/>
      <c r="GV118" s="102"/>
      <c r="GW118" s="102"/>
      <c r="GX118" s="102"/>
      <c r="GY118" s="102"/>
      <c r="GZ118" s="102"/>
      <c r="HA118" s="102"/>
      <c r="HB118" s="102"/>
      <c r="HC118" s="102"/>
      <c r="HD118" s="102"/>
      <c r="HE118" s="102"/>
      <c r="HF118" s="102"/>
      <c r="HG118" s="102"/>
      <c r="HH118" s="102"/>
      <c r="HI118" s="102"/>
      <c r="HJ118" s="102"/>
      <c r="HK118" s="102"/>
      <c r="HL118" s="102"/>
      <c r="HM118" s="102"/>
      <c r="HN118" s="102"/>
      <c r="HO118" s="102"/>
      <c r="HP118" s="102"/>
      <c r="HQ118" s="102"/>
      <c r="HR118" s="102"/>
      <c r="HS118" s="102"/>
      <c r="HT118" s="102"/>
      <c r="HU118" s="102"/>
      <c r="HV118" s="102"/>
      <c r="HW118" s="102"/>
      <c r="HX118" s="102"/>
      <c r="HY118" s="102"/>
      <c r="HZ118" s="102"/>
      <c r="IA118" s="102"/>
      <c r="IB118" s="102"/>
      <c r="IC118" s="102"/>
      <c r="ID118" s="102"/>
      <c r="IE118" s="102"/>
      <c r="IF118" s="102"/>
      <c r="IG118" s="102"/>
      <c r="IH118" s="102"/>
      <c r="II118" s="102"/>
      <c r="IJ118" s="102"/>
      <c r="IK118" s="102"/>
      <c r="IL118" s="102"/>
      <c r="IM118" s="102"/>
      <c r="IN118" s="102"/>
      <c r="IO118" s="102"/>
      <c r="IP118" s="102"/>
      <c r="IQ118" s="102"/>
      <c r="IR118" s="102"/>
      <c r="IS118" s="102"/>
      <c r="IT118" s="102"/>
      <c r="IU118" s="102"/>
      <c r="IV118" s="102"/>
      <c r="IW118" s="102"/>
      <c r="IX118" s="102"/>
      <c r="IY118" s="102"/>
      <c r="IZ118" s="102"/>
      <c r="JA118" s="102"/>
      <c r="JB118" s="102"/>
      <c r="JC118" s="102"/>
      <c r="JD118" s="102"/>
      <c r="JE118" s="102"/>
      <c r="JF118" s="102"/>
      <c r="JG118" s="102"/>
      <c r="JH118" s="102"/>
      <c r="JI118" s="102"/>
      <c r="JJ118" s="102"/>
      <c r="JK118" s="102"/>
      <c r="JL118" s="102"/>
      <c r="JM118" s="102"/>
      <c r="JN118" s="102"/>
      <c r="JO118" s="102"/>
      <c r="JP118" s="102"/>
      <c r="JQ118" s="102"/>
      <c r="JR118" s="102"/>
      <c r="JS118" s="102"/>
      <c r="JT118" s="102"/>
      <c r="JU118" s="102"/>
      <c r="JV118" s="102"/>
      <c r="JW118" s="102"/>
      <c r="JX118" s="102"/>
      <c r="JY118" s="102"/>
      <c r="JZ118" s="102"/>
      <c r="KA118" s="102"/>
      <c r="KB118" s="102"/>
      <c r="KC118" s="102"/>
      <c r="KD118" s="102"/>
      <c r="KE118" s="102"/>
      <c r="KF118" s="102"/>
      <c r="KG118" s="102"/>
      <c r="KH118" s="102"/>
      <c r="KI118" s="102"/>
      <c r="KJ118" s="102"/>
      <c r="KK118" s="102"/>
      <c r="KL118" s="102"/>
      <c r="KM118" s="102"/>
      <c r="KN118" s="102"/>
      <c r="KO118" s="102"/>
      <c r="KP118" s="102"/>
      <c r="KQ118" s="102"/>
      <c r="KR118" s="102"/>
      <c r="KS118" s="102"/>
      <c r="KT118" s="102"/>
      <c r="KU118" s="102"/>
      <c r="KV118" s="102"/>
      <c r="KW118" s="102"/>
      <c r="KX118" s="102"/>
      <c r="KY118" s="102"/>
      <c r="KZ118" s="102"/>
      <c r="LA118" s="102"/>
      <c r="LB118" s="102"/>
      <c r="LC118" s="102"/>
      <c r="LD118" s="102"/>
      <c r="LE118" s="102"/>
      <c r="LF118" s="102"/>
      <c r="LG118" s="102"/>
      <c r="LH118" s="102"/>
      <c r="LI118" s="102"/>
      <c r="LJ118" s="102"/>
      <c r="LK118" s="102"/>
      <c r="LL118" s="102"/>
      <c r="LM118" s="102"/>
      <c r="LN118" s="102"/>
      <c r="LO118" s="102"/>
      <c r="LP118" s="102"/>
      <c r="LQ118" s="102"/>
      <c r="LR118" s="102"/>
      <c r="LS118" s="102"/>
      <c r="LT118" s="102"/>
      <c r="LU118" s="102"/>
      <c r="LV118" s="102"/>
      <c r="LW118" s="102"/>
      <c r="LX118" s="102"/>
      <c r="LY118" s="102"/>
    </row>
    <row r="119" ht="15" customHeight="1">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c r="EO119" s="102"/>
      <c r="EP119" s="102"/>
      <c r="EQ119" s="102"/>
      <c r="ER119" s="102"/>
      <c r="ES119" s="102"/>
      <c r="ET119" s="102"/>
      <c r="EU119" s="102"/>
      <c r="EV119" s="102"/>
      <c r="EW119" s="102"/>
      <c r="EX119" s="102"/>
      <c r="EY119" s="102"/>
      <c r="EZ119" s="102"/>
      <c r="FA119" s="102"/>
      <c r="FB119" s="102"/>
      <c r="FC119" s="102"/>
      <c r="FD119" s="102"/>
      <c r="FE119" s="102"/>
      <c r="FF119" s="102"/>
      <c r="FG119" s="102"/>
      <c r="FH119" s="102"/>
      <c r="FI119" s="102"/>
      <c r="FJ119" s="102"/>
      <c r="FK119" s="102"/>
      <c r="FL119" s="102"/>
      <c r="FM119" s="102"/>
      <c r="FN119" s="102"/>
      <c r="FO119" s="102"/>
      <c r="FP119" s="102"/>
      <c r="FQ119" s="102"/>
      <c r="FR119" s="102"/>
      <c r="FS119" s="102"/>
      <c r="FT119" s="102"/>
      <c r="FU119" s="102"/>
      <c r="FV119" s="102"/>
      <c r="FW119" s="102"/>
      <c r="FX119" s="102"/>
      <c r="FY119" s="102"/>
      <c r="FZ119" s="102"/>
      <c r="GA119" s="102"/>
      <c r="GB119" s="102"/>
      <c r="GC119" s="102"/>
      <c r="GD119" s="102"/>
      <c r="GE119" s="102"/>
      <c r="GF119" s="102"/>
      <c r="GG119" s="102"/>
      <c r="GH119" s="102"/>
      <c r="GI119" s="102"/>
      <c r="GJ119" s="102"/>
      <c r="GK119" s="102"/>
      <c r="GL119" s="102"/>
      <c r="GM119" s="102"/>
      <c r="GN119" s="102"/>
      <c r="GO119" s="102"/>
      <c r="GP119" s="102"/>
      <c r="GQ119" s="102"/>
      <c r="GR119" s="102"/>
      <c r="GS119" s="102"/>
      <c r="GT119" s="102"/>
      <c r="GU119" s="102"/>
      <c r="GV119" s="102"/>
      <c r="GW119" s="102"/>
      <c r="GX119" s="102"/>
      <c r="GY119" s="102"/>
      <c r="GZ119" s="102"/>
      <c r="HA119" s="102"/>
      <c r="HB119" s="102"/>
      <c r="HC119" s="102"/>
      <c r="HD119" s="102"/>
      <c r="HE119" s="102"/>
      <c r="HF119" s="102"/>
      <c r="HG119" s="102"/>
      <c r="HH119" s="102"/>
      <c r="HI119" s="102"/>
      <c r="HJ119" s="102"/>
      <c r="HK119" s="102"/>
      <c r="HL119" s="102"/>
      <c r="HM119" s="102"/>
      <c r="HN119" s="102"/>
      <c r="HO119" s="102"/>
      <c r="HP119" s="102"/>
      <c r="HQ119" s="102"/>
      <c r="HR119" s="102"/>
      <c r="HS119" s="102"/>
      <c r="HT119" s="102"/>
      <c r="HU119" s="102"/>
      <c r="HV119" s="102"/>
      <c r="HW119" s="102"/>
      <c r="HX119" s="102"/>
      <c r="HY119" s="102"/>
      <c r="HZ119" s="102"/>
      <c r="IA119" s="102"/>
      <c r="IB119" s="102"/>
      <c r="IC119" s="102"/>
      <c r="ID119" s="102"/>
      <c r="IE119" s="102"/>
      <c r="IF119" s="102"/>
      <c r="IG119" s="102"/>
      <c r="IH119" s="102"/>
      <c r="II119" s="102"/>
      <c r="IJ119" s="102"/>
      <c r="IK119" s="102"/>
      <c r="IL119" s="102"/>
      <c r="IM119" s="102"/>
      <c r="IN119" s="102"/>
      <c r="IO119" s="102"/>
      <c r="IP119" s="102"/>
      <c r="IQ119" s="102"/>
      <c r="IR119" s="102"/>
      <c r="IS119" s="102"/>
      <c r="IT119" s="102"/>
      <c r="IU119" s="102"/>
      <c r="IV119" s="102"/>
      <c r="IW119" s="102"/>
      <c r="IX119" s="102"/>
      <c r="IY119" s="102"/>
      <c r="IZ119" s="102"/>
      <c r="JA119" s="102"/>
      <c r="JB119" s="102"/>
      <c r="JC119" s="102"/>
      <c r="JD119" s="102"/>
      <c r="JE119" s="102"/>
      <c r="JF119" s="102"/>
      <c r="JG119" s="102"/>
      <c r="JH119" s="102"/>
      <c r="JI119" s="102"/>
      <c r="JJ119" s="102"/>
      <c r="JK119" s="102"/>
      <c r="JL119" s="102"/>
      <c r="JM119" s="102"/>
      <c r="JN119" s="102"/>
      <c r="JO119" s="102"/>
      <c r="JP119" s="102"/>
      <c r="JQ119" s="102"/>
      <c r="JR119" s="102"/>
      <c r="JS119" s="102"/>
      <c r="JT119" s="102"/>
      <c r="JU119" s="102"/>
      <c r="JV119" s="102"/>
      <c r="JW119" s="102"/>
      <c r="JX119" s="102"/>
      <c r="JY119" s="102"/>
      <c r="JZ119" s="102"/>
      <c r="KA119" s="102"/>
      <c r="KB119" s="102"/>
      <c r="KC119" s="102"/>
      <c r="KD119" s="102"/>
      <c r="KE119" s="102"/>
      <c r="KF119" s="102"/>
      <c r="KG119" s="102"/>
      <c r="KH119" s="102"/>
      <c r="KI119" s="102"/>
      <c r="KJ119" s="102"/>
      <c r="KK119" s="102"/>
      <c r="KL119" s="102"/>
      <c r="KM119" s="102"/>
      <c r="KN119" s="102"/>
      <c r="KO119" s="102"/>
      <c r="KP119" s="102"/>
      <c r="KQ119" s="102"/>
      <c r="KR119" s="102"/>
      <c r="KS119" s="102"/>
      <c r="KT119" s="102"/>
      <c r="KU119" s="102"/>
      <c r="KV119" s="102"/>
      <c r="KW119" s="102"/>
      <c r="KX119" s="102"/>
      <c r="KY119" s="102"/>
      <c r="KZ119" s="102"/>
      <c r="LA119" s="102"/>
      <c r="LB119" s="102"/>
      <c r="LC119" s="102"/>
      <c r="LD119" s="102"/>
      <c r="LE119" s="102"/>
      <c r="LF119" s="102"/>
      <c r="LG119" s="102"/>
      <c r="LH119" s="102"/>
      <c r="LI119" s="102"/>
      <c r="LJ119" s="102"/>
      <c r="LK119" s="102"/>
      <c r="LL119" s="102"/>
      <c r="LM119" s="102"/>
      <c r="LN119" s="102"/>
      <c r="LO119" s="102"/>
      <c r="LP119" s="102"/>
      <c r="LQ119" s="102"/>
      <c r="LR119" s="102"/>
      <c r="LS119" s="102"/>
      <c r="LT119" s="102"/>
      <c r="LU119" s="102"/>
      <c r="LV119" s="102"/>
      <c r="LW119" s="102"/>
      <c r="LX119" s="102"/>
      <c r="LY119" s="102"/>
    </row>
    <row r="120" ht="15" customHeight="1">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c r="EO120" s="102"/>
      <c r="EP120" s="102"/>
      <c r="EQ120" s="102"/>
      <c r="ER120" s="102"/>
      <c r="ES120" s="102"/>
      <c r="ET120" s="102"/>
      <c r="EU120" s="102"/>
      <c r="EV120" s="102"/>
      <c r="EW120" s="102"/>
      <c r="EX120" s="102"/>
      <c r="EY120" s="102"/>
      <c r="EZ120" s="102"/>
      <c r="FA120" s="102"/>
      <c r="FB120" s="102"/>
      <c r="FC120" s="102"/>
      <c r="FD120" s="102"/>
      <c r="FE120" s="102"/>
      <c r="FF120" s="102"/>
      <c r="FG120" s="102"/>
      <c r="FH120" s="102"/>
      <c r="FI120" s="102"/>
      <c r="FJ120" s="102"/>
      <c r="FK120" s="102"/>
      <c r="FL120" s="102"/>
      <c r="FM120" s="102"/>
      <c r="FN120" s="102"/>
      <c r="FO120" s="102"/>
      <c r="FP120" s="102"/>
      <c r="FQ120" s="102"/>
      <c r="FR120" s="102"/>
      <c r="FS120" s="102"/>
      <c r="FT120" s="102"/>
      <c r="FU120" s="102"/>
      <c r="FV120" s="102"/>
      <c r="FW120" s="102"/>
      <c r="FX120" s="102"/>
      <c r="FY120" s="102"/>
      <c r="FZ120" s="102"/>
      <c r="GA120" s="102"/>
      <c r="GB120" s="102"/>
      <c r="GC120" s="102"/>
      <c r="GD120" s="102"/>
      <c r="GE120" s="102"/>
      <c r="GF120" s="102"/>
      <c r="GG120" s="102"/>
      <c r="GH120" s="102"/>
      <c r="GI120" s="102"/>
      <c r="GJ120" s="102"/>
      <c r="GK120" s="102"/>
      <c r="GL120" s="102"/>
      <c r="GM120" s="102"/>
      <c r="GN120" s="102"/>
      <c r="GO120" s="102"/>
      <c r="GP120" s="102"/>
      <c r="GQ120" s="102"/>
      <c r="GR120" s="102"/>
      <c r="GS120" s="102"/>
      <c r="GT120" s="102"/>
      <c r="GU120" s="102"/>
      <c r="GV120" s="102"/>
      <c r="GW120" s="102"/>
      <c r="GX120" s="102"/>
      <c r="GY120" s="102"/>
      <c r="GZ120" s="102"/>
      <c r="HA120" s="102"/>
      <c r="HB120" s="102"/>
      <c r="HC120" s="102"/>
      <c r="HD120" s="102"/>
      <c r="HE120" s="102"/>
      <c r="HF120" s="102"/>
      <c r="HG120" s="102"/>
      <c r="HH120" s="102"/>
      <c r="HI120" s="102"/>
      <c r="HJ120" s="102"/>
      <c r="HK120" s="102"/>
      <c r="HL120" s="102"/>
      <c r="HM120" s="102"/>
      <c r="HN120" s="102"/>
      <c r="HO120" s="102"/>
      <c r="HP120" s="102"/>
      <c r="HQ120" s="102"/>
      <c r="HR120" s="102"/>
      <c r="HS120" s="102"/>
      <c r="HT120" s="102"/>
      <c r="HU120" s="102"/>
      <c r="HV120" s="102"/>
      <c r="HW120" s="102"/>
      <c r="HX120" s="102"/>
      <c r="HY120" s="102"/>
      <c r="HZ120" s="102"/>
      <c r="IA120" s="102"/>
      <c r="IB120" s="102"/>
      <c r="IC120" s="102"/>
      <c r="ID120" s="102"/>
      <c r="IE120" s="102"/>
      <c r="IF120" s="102"/>
      <c r="IG120" s="102"/>
      <c r="IH120" s="102"/>
      <c r="II120" s="102"/>
      <c r="IJ120" s="102"/>
      <c r="IK120" s="102"/>
      <c r="IL120" s="102"/>
      <c r="IM120" s="102"/>
      <c r="IN120" s="102"/>
      <c r="IO120" s="102"/>
      <c r="IP120" s="102"/>
      <c r="IQ120" s="102"/>
      <c r="IR120" s="102"/>
      <c r="IS120" s="102"/>
      <c r="IT120" s="102"/>
      <c r="IU120" s="102"/>
      <c r="IV120" s="102"/>
      <c r="IW120" s="102"/>
      <c r="IX120" s="102"/>
      <c r="IY120" s="102"/>
      <c r="IZ120" s="102"/>
      <c r="JA120" s="102"/>
      <c r="JB120" s="102"/>
      <c r="JC120" s="102"/>
      <c r="JD120" s="102"/>
      <c r="JE120" s="102"/>
      <c r="JF120" s="102"/>
      <c r="JG120" s="102"/>
      <c r="JH120" s="102"/>
      <c r="JI120" s="102"/>
      <c r="JJ120" s="102"/>
      <c r="JK120" s="102"/>
      <c r="JL120" s="102"/>
      <c r="JM120" s="102"/>
      <c r="JN120" s="102"/>
      <c r="JO120" s="102"/>
      <c r="JP120" s="102"/>
      <c r="JQ120" s="102"/>
      <c r="JR120" s="102"/>
      <c r="JS120" s="102"/>
      <c r="JT120" s="102"/>
      <c r="JU120" s="102"/>
      <c r="JV120" s="102"/>
      <c r="JW120" s="102"/>
      <c r="JX120" s="102"/>
      <c r="JY120" s="102"/>
      <c r="JZ120" s="102"/>
      <c r="KA120" s="102"/>
      <c r="KB120" s="102"/>
      <c r="KC120" s="102"/>
      <c r="KD120" s="102"/>
      <c r="KE120" s="102"/>
      <c r="KF120" s="102"/>
      <c r="KG120" s="102"/>
      <c r="KH120" s="102"/>
      <c r="KI120" s="102"/>
      <c r="KJ120" s="102"/>
      <c r="KK120" s="102"/>
      <c r="KL120" s="102"/>
      <c r="KM120" s="102"/>
      <c r="KN120" s="102"/>
      <c r="KO120" s="102"/>
      <c r="KP120" s="102"/>
      <c r="KQ120" s="102"/>
      <c r="KR120" s="102"/>
      <c r="KS120" s="102"/>
      <c r="KT120" s="102"/>
      <c r="KU120" s="102"/>
      <c r="KV120" s="102"/>
      <c r="KW120" s="102"/>
      <c r="KX120" s="102"/>
      <c r="KY120" s="102"/>
      <c r="KZ120" s="102"/>
      <c r="LA120" s="102"/>
      <c r="LB120" s="102"/>
      <c r="LC120" s="102"/>
      <c r="LD120" s="102"/>
      <c r="LE120" s="102"/>
      <c r="LF120" s="102"/>
      <c r="LG120" s="102"/>
      <c r="LH120" s="102"/>
      <c r="LI120" s="102"/>
      <c r="LJ120" s="102"/>
      <c r="LK120" s="102"/>
      <c r="LL120" s="102"/>
      <c r="LM120" s="102"/>
      <c r="LN120" s="102"/>
      <c r="LO120" s="102"/>
      <c r="LP120" s="102"/>
      <c r="LQ120" s="102"/>
      <c r="LR120" s="102"/>
      <c r="LS120" s="102"/>
      <c r="LT120" s="102"/>
      <c r="LU120" s="102"/>
      <c r="LV120" s="102"/>
      <c r="LW120" s="102"/>
      <c r="LX120" s="102"/>
      <c r="LY120" s="102"/>
    </row>
    <row r="121" ht="15" customHeight="1">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c r="EO121" s="102"/>
      <c r="EP121" s="102"/>
      <c r="EQ121" s="102"/>
      <c r="ER121" s="102"/>
      <c r="ES121" s="102"/>
      <c r="ET121" s="102"/>
      <c r="EU121" s="102"/>
      <c r="EV121" s="102"/>
      <c r="EW121" s="102"/>
      <c r="EX121" s="102"/>
      <c r="EY121" s="102"/>
      <c r="EZ121" s="102"/>
      <c r="FA121" s="102"/>
      <c r="FB121" s="102"/>
      <c r="FC121" s="102"/>
      <c r="FD121" s="102"/>
      <c r="FE121" s="102"/>
      <c r="FF121" s="102"/>
      <c r="FG121" s="102"/>
      <c r="FH121" s="102"/>
      <c r="FI121" s="102"/>
      <c r="FJ121" s="102"/>
      <c r="FK121" s="102"/>
      <c r="FL121" s="102"/>
      <c r="FM121" s="102"/>
      <c r="FN121" s="102"/>
      <c r="FO121" s="102"/>
      <c r="FP121" s="102"/>
      <c r="FQ121" s="102"/>
      <c r="FR121" s="102"/>
      <c r="FS121" s="102"/>
      <c r="FT121" s="102"/>
      <c r="FU121" s="102"/>
      <c r="FV121" s="102"/>
      <c r="FW121" s="102"/>
      <c r="FX121" s="102"/>
      <c r="FY121" s="102"/>
      <c r="FZ121" s="102"/>
      <c r="GA121" s="102"/>
      <c r="GB121" s="102"/>
      <c r="GC121" s="102"/>
      <c r="GD121" s="102"/>
      <c r="GE121" s="102"/>
      <c r="GF121" s="102"/>
      <c r="GG121" s="102"/>
      <c r="GH121" s="102"/>
      <c r="GI121" s="102"/>
      <c r="GJ121" s="102"/>
      <c r="GK121" s="102"/>
      <c r="GL121" s="102"/>
      <c r="GM121" s="102"/>
      <c r="GN121" s="102"/>
      <c r="GO121" s="102"/>
      <c r="GP121" s="102"/>
      <c r="GQ121" s="102"/>
      <c r="GR121" s="102"/>
      <c r="GS121" s="102"/>
      <c r="GT121" s="102"/>
      <c r="GU121" s="102"/>
      <c r="GV121" s="102"/>
      <c r="GW121" s="102"/>
      <c r="GX121" s="102"/>
      <c r="GY121" s="102"/>
      <c r="GZ121" s="102"/>
      <c r="HA121" s="102"/>
      <c r="HB121" s="102"/>
      <c r="HC121" s="102"/>
      <c r="HD121" s="102"/>
      <c r="HE121" s="102"/>
      <c r="HF121" s="102"/>
      <c r="HG121" s="102"/>
      <c r="HH121" s="102"/>
      <c r="HI121" s="102"/>
      <c r="HJ121" s="102"/>
      <c r="HK121" s="102"/>
      <c r="HL121" s="102"/>
      <c r="HM121" s="102"/>
      <c r="HN121" s="102"/>
      <c r="HO121" s="102"/>
      <c r="HP121" s="102"/>
      <c r="HQ121" s="102"/>
      <c r="HR121" s="102"/>
      <c r="HS121" s="102"/>
      <c r="HT121" s="102"/>
      <c r="HU121" s="102"/>
      <c r="HV121" s="102"/>
      <c r="HW121" s="102"/>
      <c r="HX121" s="102"/>
      <c r="HY121" s="102"/>
      <c r="HZ121" s="102"/>
      <c r="IA121" s="102"/>
      <c r="IB121" s="102"/>
      <c r="IC121" s="102"/>
      <c r="ID121" s="102"/>
      <c r="IE121" s="102"/>
      <c r="IF121" s="102"/>
      <c r="IG121" s="102"/>
      <c r="IH121" s="102"/>
      <c r="II121" s="102"/>
      <c r="IJ121" s="102"/>
      <c r="IK121" s="102"/>
      <c r="IL121" s="102"/>
      <c r="IM121" s="102"/>
      <c r="IN121" s="102"/>
      <c r="IO121" s="102"/>
      <c r="IP121" s="102"/>
      <c r="IQ121" s="102"/>
      <c r="IR121" s="102"/>
      <c r="IS121" s="102"/>
      <c r="IT121" s="102"/>
      <c r="IU121" s="102"/>
      <c r="IV121" s="102"/>
      <c r="IW121" s="102"/>
      <c r="IX121" s="102"/>
      <c r="IY121" s="102"/>
      <c r="IZ121" s="102"/>
      <c r="JA121" s="102"/>
      <c r="JB121" s="102"/>
      <c r="JC121" s="102"/>
      <c r="JD121" s="102"/>
      <c r="JE121" s="102"/>
      <c r="JF121" s="102"/>
      <c r="JG121" s="102"/>
      <c r="JH121" s="102"/>
      <c r="JI121" s="102"/>
      <c r="JJ121" s="102"/>
      <c r="JK121" s="102"/>
      <c r="JL121" s="102"/>
      <c r="JM121" s="102"/>
      <c r="JN121" s="102"/>
      <c r="JO121" s="102"/>
      <c r="JP121" s="102"/>
      <c r="JQ121" s="102"/>
      <c r="JR121" s="102"/>
      <c r="JS121" s="102"/>
      <c r="JT121" s="102"/>
      <c r="JU121" s="102"/>
      <c r="JV121" s="102"/>
      <c r="JW121" s="102"/>
      <c r="JX121" s="102"/>
      <c r="JY121" s="102"/>
      <c r="JZ121" s="102"/>
      <c r="KA121" s="102"/>
      <c r="KB121" s="102"/>
      <c r="KC121" s="102"/>
      <c r="KD121" s="102"/>
      <c r="KE121" s="102"/>
      <c r="KF121" s="102"/>
      <c r="KG121" s="102"/>
      <c r="KH121" s="102"/>
      <c r="KI121" s="102"/>
      <c r="KJ121" s="102"/>
      <c r="KK121" s="102"/>
      <c r="KL121" s="102"/>
      <c r="KM121" s="102"/>
      <c r="KN121" s="102"/>
      <c r="KO121" s="102"/>
      <c r="KP121" s="102"/>
      <c r="KQ121" s="102"/>
      <c r="KR121" s="102"/>
      <c r="KS121" s="102"/>
      <c r="KT121" s="102"/>
      <c r="KU121" s="102"/>
      <c r="KV121" s="102"/>
      <c r="KW121" s="102"/>
      <c r="KX121" s="102"/>
      <c r="KY121" s="102"/>
      <c r="KZ121" s="102"/>
      <c r="LA121" s="102"/>
      <c r="LB121" s="102"/>
      <c r="LC121" s="102"/>
      <c r="LD121" s="102"/>
      <c r="LE121" s="102"/>
      <c r="LF121" s="102"/>
      <c r="LG121" s="102"/>
      <c r="LH121" s="102"/>
      <c r="LI121" s="102"/>
      <c r="LJ121" s="102"/>
      <c r="LK121" s="102"/>
      <c r="LL121" s="102"/>
      <c r="LM121" s="102"/>
      <c r="LN121" s="102"/>
      <c r="LO121" s="102"/>
      <c r="LP121" s="102"/>
      <c r="LQ121" s="102"/>
      <c r="LR121" s="102"/>
      <c r="LS121" s="102"/>
      <c r="LT121" s="102"/>
      <c r="LU121" s="102"/>
      <c r="LV121" s="102"/>
      <c r="LW121" s="102"/>
      <c r="LX121" s="102"/>
      <c r="LY121" s="102"/>
    </row>
    <row r="122" ht="15" customHeight="1">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c r="EO122" s="102"/>
      <c r="EP122" s="102"/>
      <c r="EQ122" s="102"/>
      <c r="ER122" s="102"/>
      <c r="ES122" s="102"/>
      <c r="ET122" s="102"/>
      <c r="EU122" s="102"/>
      <c r="EV122" s="102"/>
      <c r="EW122" s="102"/>
      <c r="EX122" s="102"/>
      <c r="EY122" s="102"/>
      <c r="EZ122" s="102"/>
      <c r="FA122" s="102"/>
      <c r="FB122" s="102"/>
      <c r="FC122" s="102"/>
      <c r="FD122" s="102"/>
      <c r="FE122" s="102"/>
      <c r="FF122" s="102"/>
      <c r="FG122" s="102"/>
      <c r="FH122" s="102"/>
      <c r="FI122" s="102"/>
      <c r="FJ122" s="102"/>
      <c r="FK122" s="102"/>
      <c r="FL122" s="102"/>
      <c r="FM122" s="102"/>
      <c r="FN122" s="102"/>
      <c r="FO122" s="102"/>
      <c r="FP122" s="102"/>
      <c r="FQ122" s="102"/>
      <c r="FR122" s="102"/>
      <c r="FS122" s="102"/>
      <c r="FT122" s="102"/>
      <c r="FU122" s="102"/>
      <c r="FV122" s="102"/>
      <c r="FW122" s="102"/>
      <c r="FX122" s="102"/>
      <c r="FY122" s="102"/>
      <c r="FZ122" s="102"/>
      <c r="GA122" s="102"/>
      <c r="GB122" s="102"/>
      <c r="GC122" s="102"/>
      <c r="GD122" s="102"/>
      <c r="GE122" s="102"/>
      <c r="GF122" s="102"/>
      <c r="GG122" s="102"/>
      <c r="GH122" s="102"/>
      <c r="GI122" s="102"/>
      <c r="GJ122" s="102"/>
      <c r="GK122" s="102"/>
      <c r="GL122" s="102"/>
      <c r="GM122" s="102"/>
      <c r="GN122" s="102"/>
      <c r="GO122" s="102"/>
      <c r="GP122" s="102"/>
      <c r="GQ122" s="102"/>
      <c r="GR122" s="102"/>
      <c r="GS122" s="102"/>
      <c r="GT122" s="102"/>
      <c r="GU122" s="102"/>
      <c r="GV122" s="102"/>
      <c r="GW122" s="102"/>
      <c r="GX122" s="102"/>
      <c r="GY122" s="102"/>
      <c r="GZ122" s="102"/>
      <c r="HA122" s="102"/>
      <c r="HB122" s="102"/>
      <c r="HC122" s="102"/>
      <c r="HD122" s="102"/>
      <c r="HE122" s="102"/>
      <c r="HF122" s="102"/>
      <c r="HG122" s="102"/>
      <c r="HH122" s="102"/>
      <c r="HI122" s="102"/>
      <c r="HJ122" s="102"/>
      <c r="HK122" s="102"/>
      <c r="HL122" s="102"/>
      <c r="HM122" s="102"/>
      <c r="HN122" s="102"/>
      <c r="HO122" s="102"/>
      <c r="HP122" s="102"/>
      <c r="HQ122" s="102"/>
      <c r="HR122" s="102"/>
      <c r="HS122" s="102"/>
      <c r="HT122" s="102"/>
      <c r="HU122" s="102"/>
      <c r="HV122" s="102"/>
      <c r="HW122" s="102"/>
      <c r="HX122" s="102"/>
      <c r="HY122" s="102"/>
      <c r="HZ122" s="102"/>
      <c r="IA122" s="102"/>
      <c r="IB122" s="102"/>
      <c r="IC122" s="102"/>
      <c r="ID122" s="102"/>
      <c r="IE122" s="102"/>
      <c r="IF122" s="102"/>
      <c r="IG122" s="102"/>
      <c r="IH122" s="102"/>
      <c r="II122" s="102"/>
      <c r="IJ122" s="102"/>
      <c r="IK122" s="102"/>
      <c r="IL122" s="102"/>
      <c r="IM122" s="102"/>
      <c r="IN122" s="102"/>
      <c r="IO122" s="102"/>
      <c r="IP122" s="102"/>
      <c r="IQ122" s="102"/>
      <c r="IR122" s="102"/>
      <c r="IS122" s="102"/>
      <c r="IT122" s="102"/>
      <c r="IU122" s="102"/>
      <c r="IV122" s="102"/>
      <c r="IW122" s="102"/>
      <c r="IX122" s="102"/>
      <c r="IY122" s="102"/>
      <c r="IZ122" s="102"/>
      <c r="JA122" s="102"/>
      <c r="JB122" s="102"/>
      <c r="JC122" s="102"/>
      <c r="JD122" s="102"/>
      <c r="JE122" s="102"/>
      <c r="JF122" s="102"/>
      <c r="JG122" s="102"/>
      <c r="JH122" s="102"/>
      <c r="JI122" s="102"/>
      <c r="JJ122" s="102"/>
      <c r="JK122" s="102"/>
      <c r="JL122" s="102"/>
      <c r="JM122" s="102"/>
      <c r="JN122" s="102"/>
      <c r="JO122" s="102"/>
      <c r="JP122" s="102"/>
      <c r="JQ122" s="102"/>
      <c r="JR122" s="102"/>
      <c r="JS122" s="102"/>
      <c r="JT122" s="102"/>
      <c r="JU122" s="102"/>
      <c r="JV122" s="102"/>
      <c r="JW122" s="102"/>
      <c r="JX122" s="102"/>
      <c r="JY122" s="102"/>
      <c r="JZ122" s="102"/>
      <c r="KA122" s="102"/>
      <c r="KB122" s="102"/>
      <c r="KC122" s="102"/>
      <c r="KD122" s="102"/>
      <c r="KE122" s="102"/>
      <c r="KF122" s="102"/>
      <c r="KG122" s="102"/>
      <c r="KH122" s="102"/>
      <c r="KI122" s="102"/>
      <c r="KJ122" s="102"/>
      <c r="KK122" s="102"/>
      <c r="KL122" s="102"/>
      <c r="KM122" s="102"/>
      <c r="KN122" s="102"/>
      <c r="KO122" s="102"/>
      <c r="KP122" s="102"/>
      <c r="KQ122" s="102"/>
      <c r="KR122" s="102"/>
      <c r="KS122" s="102"/>
      <c r="KT122" s="102"/>
      <c r="KU122" s="102"/>
      <c r="KV122" s="102"/>
      <c r="KW122" s="102"/>
      <c r="KX122" s="102"/>
      <c r="KY122" s="102"/>
      <c r="KZ122" s="102"/>
      <c r="LA122" s="102"/>
      <c r="LB122" s="102"/>
      <c r="LC122" s="102"/>
      <c r="LD122" s="102"/>
      <c r="LE122" s="102"/>
      <c r="LF122" s="102"/>
      <c r="LG122" s="102"/>
      <c r="LH122" s="102"/>
      <c r="LI122" s="102"/>
      <c r="LJ122" s="102"/>
      <c r="LK122" s="102"/>
      <c r="LL122" s="102"/>
      <c r="LM122" s="102"/>
      <c r="LN122" s="102"/>
      <c r="LO122" s="102"/>
      <c r="LP122" s="102"/>
      <c r="LQ122" s="102"/>
      <c r="LR122" s="102"/>
      <c r="LS122" s="102"/>
      <c r="LT122" s="102"/>
      <c r="LU122" s="102"/>
      <c r="LV122" s="102"/>
      <c r="LW122" s="102"/>
      <c r="LX122" s="102"/>
      <c r="LY122" s="102"/>
    </row>
    <row r="123" ht="15" customHeight="1">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c r="EO123" s="102"/>
      <c r="EP123" s="102"/>
      <c r="EQ123" s="102"/>
      <c r="ER123" s="102"/>
      <c r="ES123" s="102"/>
      <c r="ET123" s="102"/>
      <c r="EU123" s="102"/>
      <c r="EV123" s="102"/>
      <c r="EW123" s="102"/>
      <c r="EX123" s="102"/>
      <c r="EY123" s="102"/>
      <c r="EZ123" s="102"/>
      <c r="FA123" s="102"/>
      <c r="FB123" s="102"/>
      <c r="FC123" s="102"/>
      <c r="FD123" s="102"/>
      <c r="FE123" s="102"/>
      <c r="FF123" s="102"/>
      <c r="FG123" s="102"/>
      <c r="FH123" s="102"/>
      <c r="FI123" s="102"/>
      <c r="FJ123" s="102"/>
      <c r="FK123" s="102"/>
      <c r="FL123" s="102"/>
      <c r="FM123" s="102"/>
      <c r="FN123" s="102"/>
      <c r="FO123" s="102"/>
      <c r="FP123" s="102"/>
      <c r="FQ123" s="102"/>
      <c r="FR123" s="102"/>
      <c r="FS123" s="102"/>
      <c r="FT123" s="102"/>
      <c r="FU123" s="102"/>
      <c r="FV123" s="102"/>
      <c r="FW123" s="102"/>
      <c r="FX123" s="102"/>
      <c r="FY123" s="102"/>
      <c r="FZ123" s="102"/>
      <c r="GA123" s="102"/>
      <c r="GB123" s="102"/>
      <c r="GC123" s="102"/>
      <c r="GD123" s="102"/>
      <c r="GE123" s="102"/>
      <c r="GF123" s="102"/>
      <c r="GG123" s="102"/>
      <c r="GH123" s="102"/>
      <c r="GI123" s="102"/>
      <c r="GJ123" s="102"/>
      <c r="GK123" s="102"/>
      <c r="GL123" s="102"/>
      <c r="GM123" s="102"/>
      <c r="GN123" s="102"/>
      <c r="GO123" s="102"/>
      <c r="GP123" s="102"/>
      <c r="GQ123" s="102"/>
      <c r="GR123" s="102"/>
      <c r="GS123" s="102"/>
      <c r="GT123" s="102"/>
      <c r="GU123" s="102"/>
      <c r="GV123" s="102"/>
      <c r="GW123" s="102"/>
      <c r="GX123" s="102"/>
      <c r="GY123" s="102"/>
      <c r="GZ123" s="102"/>
      <c r="HA123" s="102"/>
      <c r="HB123" s="102"/>
      <c r="HC123" s="102"/>
      <c r="HD123" s="102"/>
      <c r="HE123" s="102"/>
      <c r="HF123" s="102"/>
      <c r="HG123" s="102"/>
      <c r="HH123" s="102"/>
      <c r="HI123" s="102"/>
      <c r="HJ123" s="102"/>
      <c r="HK123" s="102"/>
      <c r="HL123" s="102"/>
      <c r="HM123" s="102"/>
      <c r="HN123" s="102"/>
      <c r="HO123" s="102"/>
      <c r="HP123" s="102"/>
      <c r="HQ123" s="102"/>
      <c r="HR123" s="102"/>
      <c r="HS123" s="102"/>
      <c r="HT123" s="102"/>
      <c r="HU123" s="102"/>
      <c r="HV123" s="102"/>
      <c r="HW123" s="102"/>
      <c r="HX123" s="102"/>
      <c r="HY123" s="102"/>
      <c r="HZ123" s="102"/>
      <c r="IA123" s="102"/>
      <c r="IB123" s="102"/>
      <c r="IC123" s="102"/>
      <c r="ID123" s="102"/>
      <c r="IE123" s="102"/>
      <c r="IF123" s="102"/>
      <c r="IG123" s="102"/>
      <c r="IH123" s="102"/>
      <c r="II123" s="102"/>
      <c r="IJ123" s="102"/>
      <c r="IK123" s="102"/>
      <c r="IL123" s="102"/>
      <c r="IM123" s="102"/>
      <c r="IN123" s="102"/>
      <c r="IO123" s="102"/>
      <c r="IP123" s="102"/>
      <c r="IQ123" s="102"/>
      <c r="IR123" s="102"/>
      <c r="IS123" s="102"/>
      <c r="IT123" s="102"/>
      <c r="IU123" s="102"/>
      <c r="IV123" s="102"/>
      <c r="IW123" s="102"/>
      <c r="IX123" s="102"/>
      <c r="IY123" s="102"/>
      <c r="IZ123" s="102"/>
      <c r="JA123" s="102"/>
      <c r="JB123" s="102"/>
      <c r="JC123" s="102"/>
      <c r="JD123" s="102"/>
      <c r="JE123" s="102"/>
      <c r="JF123" s="102"/>
      <c r="JG123" s="102"/>
      <c r="JH123" s="102"/>
      <c r="JI123" s="102"/>
      <c r="JJ123" s="102"/>
      <c r="JK123" s="102"/>
      <c r="JL123" s="102"/>
      <c r="JM123" s="102"/>
      <c r="JN123" s="102"/>
      <c r="JO123" s="102"/>
      <c r="JP123" s="102"/>
      <c r="JQ123" s="102"/>
      <c r="JR123" s="102"/>
      <c r="JS123" s="102"/>
      <c r="JT123" s="102"/>
      <c r="JU123" s="102"/>
      <c r="JV123" s="102"/>
      <c r="JW123" s="102"/>
      <c r="JX123" s="102"/>
      <c r="JY123" s="102"/>
      <c r="JZ123" s="102"/>
      <c r="KA123" s="102"/>
      <c r="KB123" s="102"/>
      <c r="KC123" s="102"/>
      <c r="KD123" s="102"/>
      <c r="KE123" s="102"/>
      <c r="KF123" s="102"/>
      <c r="KG123" s="102"/>
      <c r="KH123" s="102"/>
      <c r="KI123" s="102"/>
      <c r="KJ123" s="102"/>
      <c r="KK123" s="102"/>
      <c r="KL123" s="102"/>
      <c r="KM123" s="102"/>
      <c r="KN123" s="102"/>
      <c r="KO123" s="102"/>
      <c r="KP123" s="102"/>
      <c r="KQ123" s="102"/>
      <c r="KR123" s="102"/>
      <c r="KS123" s="102"/>
      <c r="KT123" s="102"/>
      <c r="KU123" s="102"/>
      <c r="KV123" s="102"/>
      <c r="KW123" s="102"/>
      <c r="KX123" s="102"/>
      <c r="KY123" s="102"/>
      <c r="KZ123" s="102"/>
      <c r="LA123" s="102"/>
      <c r="LB123" s="102"/>
      <c r="LC123" s="102"/>
      <c r="LD123" s="102"/>
      <c r="LE123" s="102"/>
      <c r="LF123" s="102"/>
      <c r="LG123" s="102"/>
      <c r="LH123" s="102"/>
      <c r="LI123" s="102"/>
      <c r="LJ123" s="102"/>
      <c r="LK123" s="102"/>
      <c r="LL123" s="102"/>
      <c r="LM123" s="102"/>
      <c r="LN123" s="102"/>
      <c r="LO123" s="102"/>
      <c r="LP123" s="102"/>
      <c r="LQ123" s="102"/>
      <c r="LR123" s="102"/>
      <c r="LS123" s="102"/>
      <c r="LT123" s="102"/>
      <c r="LU123" s="102"/>
      <c r="LV123" s="102"/>
      <c r="LW123" s="102"/>
      <c r="LX123" s="102"/>
      <c r="LY123" s="102"/>
    </row>
    <row r="124" ht="15" customHeight="1">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c r="EO124" s="102"/>
      <c r="EP124" s="102"/>
      <c r="EQ124" s="102"/>
      <c r="ER124" s="102"/>
      <c r="ES124" s="102"/>
      <c r="ET124" s="102"/>
      <c r="EU124" s="102"/>
      <c r="EV124" s="102"/>
      <c r="EW124" s="102"/>
      <c r="EX124" s="102"/>
      <c r="EY124" s="102"/>
      <c r="EZ124" s="102"/>
      <c r="FA124" s="102"/>
      <c r="FB124" s="102"/>
      <c r="FC124" s="102"/>
      <c r="FD124" s="102"/>
      <c r="FE124" s="102"/>
      <c r="FF124" s="102"/>
      <c r="FG124" s="102"/>
      <c r="FH124" s="102"/>
      <c r="FI124" s="102"/>
      <c r="FJ124" s="102"/>
      <c r="FK124" s="102"/>
      <c r="FL124" s="102"/>
      <c r="FM124" s="102"/>
      <c r="FN124" s="102"/>
      <c r="FO124" s="102"/>
      <c r="FP124" s="102"/>
      <c r="FQ124" s="102"/>
      <c r="FR124" s="102"/>
      <c r="FS124" s="102"/>
      <c r="FT124" s="102"/>
      <c r="FU124" s="102"/>
      <c r="FV124" s="102"/>
      <c r="FW124" s="102"/>
      <c r="FX124" s="102"/>
      <c r="FY124" s="102"/>
      <c r="FZ124" s="102"/>
      <c r="GA124" s="102"/>
      <c r="GB124" s="102"/>
      <c r="GC124" s="102"/>
      <c r="GD124" s="102"/>
      <c r="GE124" s="102"/>
      <c r="GF124" s="102"/>
      <c r="GG124" s="102"/>
      <c r="GH124" s="102"/>
      <c r="GI124" s="102"/>
      <c r="GJ124" s="102"/>
      <c r="GK124" s="102"/>
      <c r="GL124" s="102"/>
      <c r="GM124" s="102"/>
      <c r="GN124" s="102"/>
      <c r="GO124" s="102"/>
      <c r="GP124" s="102"/>
      <c r="GQ124" s="102"/>
      <c r="GR124" s="102"/>
      <c r="GS124" s="102"/>
      <c r="GT124" s="102"/>
      <c r="GU124" s="102"/>
      <c r="GV124" s="102"/>
      <c r="GW124" s="102"/>
      <c r="GX124" s="102"/>
      <c r="GY124" s="102"/>
      <c r="GZ124" s="102"/>
      <c r="HA124" s="102"/>
      <c r="HB124" s="102"/>
      <c r="HC124" s="102"/>
      <c r="HD124" s="102"/>
      <c r="HE124" s="102"/>
      <c r="HF124" s="102"/>
      <c r="HG124" s="102"/>
      <c r="HH124" s="102"/>
      <c r="HI124" s="102"/>
      <c r="HJ124" s="102"/>
      <c r="HK124" s="102"/>
      <c r="HL124" s="102"/>
      <c r="HM124" s="102"/>
      <c r="HN124" s="102"/>
      <c r="HO124" s="102"/>
      <c r="HP124" s="102"/>
      <c r="HQ124" s="102"/>
      <c r="HR124" s="102"/>
      <c r="HS124" s="102"/>
      <c r="HT124" s="102"/>
      <c r="HU124" s="102"/>
      <c r="HV124" s="102"/>
      <c r="HW124" s="102"/>
      <c r="HX124" s="102"/>
      <c r="HY124" s="102"/>
      <c r="HZ124" s="102"/>
      <c r="IA124" s="102"/>
      <c r="IB124" s="102"/>
      <c r="IC124" s="102"/>
      <c r="ID124" s="102"/>
      <c r="IE124" s="102"/>
      <c r="IF124" s="102"/>
      <c r="IG124" s="102"/>
      <c r="IH124" s="102"/>
      <c r="II124" s="102"/>
      <c r="IJ124" s="102"/>
      <c r="IK124" s="102"/>
      <c r="IL124" s="102"/>
      <c r="IM124" s="102"/>
      <c r="IN124" s="102"/>
      <c r="IO124" s="102"/>
      <c r="IP124" s="102"/>
      <c r="IQ124" s="102"/>
      <c r="IR124" s="102"/>
      <c r="IS124" s="102"/>
      <c r="IT124" s="102"/>
      <c r="IU124" s="102"/>
      <c r="IV124" s="102"/>
      <c r="IW124" s="102"/>
      <c r="IX124" s="102"/>
      <c r="IY124" s="102"/>
      <c r="IZ124" s="102"/>
      <c r="JA124" s="102"/>
      <c r="JB124" s="102"/>
      <c r="JC124" s="102"/>
      <c r="JD124" s="102"/>
      <c r="JE124" s="102"/>
      <c r="JF124" s="102"/>
      <c r="JG124" s="102"/>
      <c r="JH124" s="102"/>
      <c r="JI124" s="102"/>
      <c r="JJ124" s="102"/>
      <c r="JK124" s="102"/>
      <c r="JL124" s="102"/>
      <c r="JM124" s="102"/>
      <c r="JN124" s="102"/>
      <c r="JO124" s="102"/>
      <c r="JP124" s="102"/>
      <c r="JQ124" s="102"/>
      <c r="JR124" s="102"/>
      <c r="JS124" s="102"/>
      <c r="JT124" s="102"/>
      <c r="JU124" s="102"/>
      <c r="JV124" s="102"/>
      <c r="JW124" s="102"/>
      <c r="JX124" s="102"/>
      <c r="JY124" s="102"/>
      <c r="JZ124" s="102"/>
      <c r="KA124" s="102"/>
      <c r="KB124" s="102"/>
      <c r="KC124" s="102"/>
      <c r="KD124" s="102"/>
      <c r="KE124" s="102"/>
      <c r="KF124" s="102"/>
      <c r="KG124" s="102"/>
      <c r="KH124" s="102"/>
      <c r="KI124" s="102"/>
      <c r="KJ124" s="102"/>
      <c r="KK124" s="102"/>
      <c r="KL124" s="102"/>
      <c r="KM124" s="102"/>
      <c r="KN124" s="102"/>
      <c r="KO124" s="102"/>
      <c r="KP124" s="102"/>
      <c r="KQ124" s="102"/>
      <c r="KR124" s="102"/>
      <c r="KS124" s="102"/>
      <c r="KT124" s="102"/>
      <c r="KU124" s="102"/>
      <c r="KV124" s="102"/>
      <c r="KW124" s="102"/>
      <c r="KX124" s="102"/>
      <c r="KY124" s="102"/>
      <c r="KZ124" s="102"/>
      <c r="LA124" s="102"/>
      <c r="LB124" s="102"/>
      <c r="LC124" s="102"/>
      <c r="LD124" s="102"/>
      <c r="LE124" s="102"/>
      <c r="LF124" s="102"/>
      <c r="LG124" s="102"/>
      <c r="LH124" s="102"/>
      <c r="LI124" s="102"/>
      <c r="LJ124" s="102"/>
      <c r="LK124" s="102"/>
      <c r="LL124" s="102"/>
      <c r="LM124" s="102"/>
      <c r="LN124" s="102"/>
      <c r="LO124" s="102"/>
      <c r="LP124" s="102"/>
      <c r="LQ124" s="102"/>
      <c r="LR124" s="102"/>
      <c r="LS124" s="102"/>
      <c r="LT124" s="102"/>
      <c r="LU124" s="102"/>
      <c r="LV124" s="102"/>
      <c r="LW124" s="102"/>
      <c r="LX124" s="102"/>
      <c r="LY124" s="102"/>
    </row>
    <row r="125" ht="15" customHeight="1">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c r="EO125" s="102"/>
      <c r="EP125" s="102"/>
      <c r="EQ125" s="102"/>
      <c r="ER125" s="102"/>
      <c r="ES125" s="102"/>
      <c r="ET125" s="102"/>
      <c r="EU125" s="102"/>
      <c r="EV125" s="102"/>
      <c r="EW125" s="102"/>
      <c r="EX125" s="102"/>
      <c r="EY125" s="102"/>
      <c r="EZ125" s="102"/>
      <c r="FA125" s="102"/>
      <c r="FB125" s="102"/>
      <c r="FC125" s="102"/>
      <c r="FD125" s="102"/>
      <c r="FE125" s="102"/>
      <c r="FF125" s="102"/>
      <c r="FG125" s="102"/>
      <c r="FH125" s="102"/>
      <c r="FI125" s="102"/>
      <c r="FJ125" s="102"/>
      <c r="FK125" s="102"/>
      <c r="FL125" s="102"/>
      <c r="FM125" s="102"/>
      <c r="FN125" s="102"/>
      <c r="FO125" s="102"/>
      <c r="FP125" s="102"/>
      <c r="FQ125" s="102"/>
      <c r="FR125" s="102"/>
      <c r="FS125" s="102"/>
      <c r="FT125" s="102"/>
      <c r="FU125" s="102"/>
      <c r="FV125" s="102"/>
      <c r="FW125" s="102"/>
      <c r="FX125" s="102"/>
      <c r="FY125" s="102"/>
      <c r="FZ125" s="102"/>
      <c r="GA125" s="102"/>
      <c r="GB125" s="102"/>
      <c r="GC125" s="102"/>
      <c r="GD125" s="102"/>
      <c r="GE125" s="102"/>
      <c r="GF125" s="102"/>
      <c r="GG125" s="102"/>
      <c r="GH125" s="102"/>
      <c r="GI125" s="102"/>
      <c r="GJ125" s="102"/>
      <c r="GK125" s="102"/>
      <c r="GL125" s="102"/>
      <c r="GM125" s="102"/>
      <c r="GN125" s="102"/>
      <c r="GO125" s="102"/>
      <c r="GP125" s="102"/>
      <c r="GQ125" s="102"/>
      <c r="GR125" s="102"/>
      <c r="GS125" s="102"/>
      <c r="GT125" s="102"/>
      <c r="GU125" s="102"/>
      <c r="GV125" s="102"/>
      <c r="GW125" s="102"/>
      <c r="GX125" s="102"/>
      <c r="GY125" s="102"/>
      <c r="GZ125" s="102"/>
      <c r="HA125" s="102"/>
      <c r="HB125" s="102"/>
      <c r="HC125" s="102"/>
      <c r="HD125" s="102"/>
      <c r="HE125" s="102"/>
      <c r="HF125" s="102"/>
      <c r="HG125" s="102"/>
      <c r="HH125" s="102"/>
      <c r="HI125" s="102"/>
      <c r="HJ125" s="102"/>
      <c r="HK125" s="102"/>
      <c r="HL125" s="102"/>
      <c r="HM125" s="102"/>
      <c r="HN125" s="102"/>
      <c r="HO125" s="102"/>
      <c r="HP125" s="102"/>
      <c r="HQ125" s="102"/>
      <c r="HR125" s="102"/>
      <c r="HS125" s="102"/>
      <c r="HT125" s="102"/>
      <c r="HU125" s="102"/>
      <c r="HV125" s="102"/>
      <c r="HW125" s="102"/>
      <c r="HX125" s="102"/>
      <c r="HY125" s="102"/>
      <c r="HZ125" s="102"/>
      <c r="IA125" s="102"/>
      <c r="IB125" s="102"/>
      <c r="IC125" s="102"/>
      <c r="ID125" s="102"/>
      <c r="IE125" s="102"/>
      <c r="IF125" s="102"/>
      <c r="IG125" s="102"/>
      <c r="IH125" s="102"/>
      <c r="II125" s="102"/>
      <c r="IJ125" s="102"/>
      <c r="IK125" s="102"/>
      <c r="IL125" s="102"/>
      <c r="IM125" s="102"/>
      <c r="IN125" s="102"/>
      <c r="IO125" s="102"/>
      <c r="IP125" s="102"/>
      <c r="IQ125" s="102"/>
      <c r="IR125" s="102"/>
      <c r="IS125" s="102"/>
      <c r="IT125" s="102"/>
      <c r="IU125" s="102"/>
      <c r="IV125" s="102"/>
      <c r="IW125" s="102"/>
      <c r="IX125" s="102"/>
      <c r="IY125" s="102"/>
      <c r="IZ125" s="102"/>
      <c r="JA125" s="102"/>
      <c r="JB125" s="102"/>
      <c r="JC125" s="102"/>
      <c r="JD125" s="102"/>
      <c r="JE125" s="102"/>
      <c r="JF125" s="102"/>
      <c r="JG125" s="102"/>
      <c r="JH125" s="102"/>
      <c r="JI125" s="102"/>
      <c r="JJ125" s="102"/>
      <c r="JK125" s="102"/>
      <c r="JL125" s="102"/>
      <c r="JM125" s="102"/>
      <c r="JN125" s="102"/>
      <c r="JO125" s="102"/>
      <c r="JP125" s="102"/>
      <c r="JQ125" s="102"/>
      <c r="JR125" s="102"/>
      <c r="JS125" s="102"/>
      <c r="JT125" s="102"/>
      <c r="JU125" s="102"/>
      <c r="JV125" s="102"/>
      <c r="JW125" s="102"/>
      <c r="JX125" s="102"/>
      <c r="JY125" s="102"/>
      <c r="JZ125" s="102"/>
      <c r="KA125" s="102"/>
      <c r="KB125" s="102"/>
      <c r="KC125" s="102"/>
      <c r="KD125" s="102"/>
      <c r="KE125" s="102"/>
      <c r="KF125" s="102"/>
      <c r="KG125" s="102"/>
      <c r="KH125" s="102"/>
      <c r="KI125" s="102"/>
      <c r="KJ125" s="102"/>
      <c r="KK125" s="102"/>
      <c r="KL125" s="102"/>
      <c r="KM125" s="102"/>
      <c r="KN125" s="102"/>
      <c r="KO125" s="102"/>
      <c r="KP125" s="102"/>
      <c r="KQ125" s="102"/>
      <c r="KR125" s="102"/>
      <c r="KS125" s="102"/>
      <c r="KT125" s="102"/>
      <c r="KU125" s="102"/>
      <c r="KV125" s="102"/>
      <c r="KW125" s="102"/>
      <c r="KX125" s="102"/>
      <c r="KY125" s="102"/>
      <c r="KZ125" s="102"/>
      <c r="LA125" s="102"/>
      <c r="LB125" s="102"/>
      <c r="LC125" s="102"/>
      <c r="LD125" s="102"/>
      <c r="LE125" s="102"/>
      <c r="LF125" s="102"/>
      <c r="LG125" s="102"/>
      <c r="LH125" s="102"/>
      <c r="LI125" s="102"/>
      <c r="LJ125" s="102"/>
      <c r="LK125" s="102"/>
      <c r="LL125" s="102"/>
      <c r="LM125" s="102"/>
      <c r="LN125" s="102"/>
      <c r="LO125" s="102"/>
      <c r="LP125" s="102"/>
      <c r="LQ125" s="102"/>
      <c r="LR125" s="102"/>
      <c r="LS125" s="102"/>
      <c r="LT125" s="102"/>
      <c r="LU125" s="102"/>
      <c r="LV125" s="102"/>
      <c r="LW125" s="102"/>
      <c r="LX125" s="102"/>
      <c r="LY125" s="102"/>
    </row>
    <row r="126" ht="15" customHeight="1">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c r="EO126" s="102"/>
      <c r="EP126" s="102"/>
      <c r="EQ126" s="102"/>
      <c r="ER126" s="102"/>
      <c r="ES126" s="102"/>
      <c r="ET126" s="102"/>
      <c r="EU126" s="102"/>
      <c r="EV126" s="102"/>
      <c r="EW126" s="102"/>
      <c r="EX126" s="102"/>
      <c r="EY126" s="102"/>
      <c r="EZ126" s="102"/>
      <c r="FA126" s="102"/>
      <c r="FB126" s="102"/>
      <c r="FC126" s="102"/>
      <c r="FD126" s="102"/>
      <c r="FE126" s="102"/>
      <c r="FF126" s="102"/>
      <c r="FG126" s="102"/>
      <c r="FH126" s="102"/>
      <c r="FI126" s="102"/>
      <c r="FJ126" s="102"/>
      <c r="FK126" s="102"/>
      <c r="FL126" s="102"/>
      <c r="FM126" s="102"/>
      <c r="FN126" s="102"/>
      <c r="FO126" s="102"/>
      <c r="FP126" s="102"/>
      <c r="FQ126" s="102"/>
      <c r="FR126" s="102"/>
      <c r="FS126" s="102"/>
      <c r="FT126" s="102"/>
      <c r="FU126" s="102"/>
      <c r="FV126" s="102"/>
      <c r="FW126" s="102"/>
      <c r="FX126" s="102"/>
      <c r="FY126" s="102"/>
      <c r="FZ126" s="102"/>
      <c r="GA126" s="102"/>
      <c r="GB126" s="102"/>
      <c r="GC126" s="102"/>
      <c r="GD126" s="102"/>
      <c r="GE126" s="102"/>
      <c r="GF126" s="102"/>
      <c r="GG126" s="102"/>
      <c r="GH126" s="102"/>
      <c r="GI126" s="102"/>
      <c r="GJ126" s="102"/>
      <c r="GK126" s="102"/>
      <c r="GL126" s="102"/>
      <c r="GM126" s="102"/>
      <c r="GN126" s="102"/>
      <c r="GO126" s="102"/>
      <c r="GP126" s="102"/>
      <c r="GQ126" s="102"/>
      <c r="GR126" s="102"/>
      <c r="GS126" s="102"/>
      <c r="GT126" s="102"/>
      <c r="GU126" s="102"/>
      <c r="GV126" s="102"/>
      <c r="GW126" s="102"/>
      <c r="GX126" s="102"/>
      <c r="GY126" s="102"/>
      <c r="GZ126" s="102"/>
      <c r="HA126" s="102"/>
      <c r="HB126" s="102"/>
      <c r="HC126" s="102"/>
      <c r="HD126" s="102"/>
      <c r="HE126" s="102"/>
      <c r="HF126" s="102"/>
      <c r="HG126" s="102"/>
      <c r="HH126" s="102"/>
      <c r="HI126" s="102"/>
      <c r="HJ126" s="102"/>
      <c r="HK126" s="102"/>
      <c r="HL126" s="102"/>
      <c r="HM126" s="102"/>
      <c r="HN126" s="102"/>
      <c r="HO126" s="102"/>
      <c r="HP126" s="102"/>
      <c r="HQ126" s="102"/>
      <c r="HR126" s="102"/>
      <c r="HS126" s="102"/>
      <c r="HT126" s="102"/>
      <c r="HU126" s="102"/>
      <c r="HV126" s="102"/>
      <c r="HW126" s="102"/>
      <c r="HX126" s="102"/>
      <c r="HY126" s="102"/>
      <c r="HZ126" s="102"/>
      <c r="IA126" s="102"/>
      <c r="IB126" s="102"/>
      <c r="IC126" s="102"/>
      <c r="ID126" s="102"/>
      <c r="IE126" s="102"/>
      <c r="IF126" s="102"/>
      <c r="IG126" s="102"/>
      <c r="IH126" s="102"/>
      <c r="II126" s="102"/>
      <c r="IJ126" s="102"/>
      <c r="IK126" s="102"/>
      <c r="IL126" s="102"/>
      <c r="IM126" s="102"/>
      <c r="IN126" s="102"/>
      <c r="IO126" s="102"/>
      <c r="IP126" s="102"/>
      <c r="IQ126" s="102"/>
      <c r="IR126" s="102"/>
      <c r="IS126" s="102"/>
      <c r="IT126" s="102"/>
      <c r="IU126" s="102"/>
      <c r="IV126" s="102"/>
      <c r="IW126" s="102"/>
      <c r="IX126" s="102"/>
      <c r="IY126" s="102"/>
      <c r="IZ126" s="102"/>
      <c r="JA126" s="102"/>
      <c r="JB126" s="102"/>
      <c r="JC126" s="102"/>
      <c r="JD126" s="102"/>
      <c r="JE126" s="102"/>
      <c r="JF126" s="102"/>
      <c r="JG126" s="102"/>
      <c r="JH126" s="102"/>
      <c r="JI126" s="102"/>
      <c r="JJ126" s="102"/>
      <c r="JK126" s="102"/>
      <c r="JL126" s="102"/>
      <c r="JM126" s="102"/>
      <c r="JN126" s="102"/>
      <c r="JO126" s="102"/>
      <c r="JP126" s="102"/>
      <c r="JQ126" s="102"/>
      <c r="JR126" s="102"/>
      <c r="JS126" s="102"/>
      <c r="JT126" s="102"/>
      <c r="JU126" s="102"/>
      <c r="JV126" s="102"/>
      <c r="JW126" s="102"/>
      <c r="JX126" s="102"/>
      <c r="JY126" s="102"/>
      <c r="JZ126" s="102"/>
      <c r="KA126" s="102"/>
      <c r="KB126" s="102"/>
      <c r="KC126" s="102"/>
      <c r="KD126" s="102"/>
      <c r="KE126" s="102"/>
      <c r="KF126" s="102"/>
      <c r="KG126" s="102"/>
      <c r="KH126" s="102"/>
      <c r="KI126" s="102"/>
      <c r="KJ126" s="102"/>
      <c r="KK126" s="102"/>
      <c r="KL126" s="102"/>
      <c r="KM126" s="102"/>
      <c r="KN126" s="102"/>
      <c r="KO126" s="102"/>
      <c r="KP126" s="102"/>
      <c r="KQ126" s="102"/>
      <c r="KR126" s="102"/>
      <c r="KS126" s="102"/>
      <c r="KT126" s="102"/>
      <c r="KU126" s="102"/>
      <c r="KV126" s="102"/>
      <c r="KW126" s="102"/>
      <c r="KX126" s="102"/>
      <c r="KY126" s="102"/>
      <c r="KZ126" s="102"/>
      <c r="LA126" s="102"/>
      <c r="LB126" s="102"/>
      <c r="LC126" s="102"/>
      <c r="LD126" s="102"/>
      <c r="LE126" s="102"/>
      <c r="LF126" s="102"/>
      <c r="LG126" s="102"/>
      <c r="LH126" s="102"/>
      <c r="LI126" s="102"/>
      <c r="LJ126" s="102"/>
      <c r="LK126" s="102"/>
      <c r="LL126" s="102"/>
      <c r="LM126" s="102"/>
      <c r="LN126" s="102"/>
      <c r="LO126" s="102"/>
      <c r="LP126" s="102"/>
      <c r="LQ126" s="102"/>
      <c r="LR126" s="102"/>
      <c r="LS126" s="102"/>
      <c r="LT126" s="102"/>
      <c r="LU126" s="102"/>
      <c r="LV126" s="102"/>
      <c r="LW126" s="102"/>
      <c r="LX126" s="102"/>
      <c r="LY126" s="102"/>
    </row>
    <row r="127" ht="15" customHeight="1">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c r="EO127" s="102"/>
      <c r="EP127" s="102"/>
      <c r="EQ127" s="102"/>
      <c r="ER127" s="102"/>
      <c r="ES127" s="102"/>
      <c r="ET127" s="102"/>
      <c r="EU127" s="102"/>
      <c r="EV127" s="102"/>
      <c r="EW127" s="102"/>
      <c r="EX127" s="102"/>
      <c r="EY127" s="102"/>
      <c r="EZ127" s="102"/>
      <c r="FA127" s="102"/>
      <c r="FB127" s="102"/>
      <c r="FC127" s="102"/>
      <c r="FD127" s="102"/>
      <c r="FE127" s="102"/>
      <c r="FF127" s="102"/>
      <c r="FG127" s="102"/>
      <c r="FH127" s="102"/>
      <c r="FI127" s="102"/>
      <c r="FJ127" s="102"/>
      <c r="FK127" s="102"/>
      <c r="FL127" s="102"/>
      <c r="FM127" s="102"/>
      <c r="FN127" s="102"/>
      <c r="FO127" s="102"/>
      <c r="FP127" s="102"/>
      <c r="FQ127" s="102"/>
      <c r="FR127" s="102"/>
      <c r="FS127" s="102"/>
      <c r="FT127" s="102"/>
      <c r="FU127" s="102"/>
      <c r="FV127" s="102"/>
      <c r="FW127" s="102"/>
      <c r="FX127" s="102"/>
      <c r="FY127" s="102"/>
      <c r="FZ127" s="102"/>
      <c r="GA127" s="102"/>
      <c r="GB127" s="102"/>
      <c r="GC127" s="102"/>
      <c r="GD127" s="102"/>
      <c r="GE127" s="102"/>
      <c r="GF127" s="102"/>
      <c r="GG127" s="102"/>
      <c r="GH127" s="102"/>
      <c r="GI127" s="102"/>
      <c r="GJ127" s="102"/>
      <c r="GK127" s="102"/>
      <c r="GL127" s="102"/>
      <c r="GM127" s="102"/>
      <c r="GN127" s="102"/>
      <c r="GO127" s="102"/>
      <c r="GP127" s="102"/>
      <c r="GQ127" s="102"/>
      <c r="GR127" s="102"/>
      <c r="GS127" s="102"/>
      <c r="GT127" s="102"/>
      <c r="GU127" s="102"/>
      <c r="GV127" s="102"/>
      <c r="GW127" s="102"/>
      <c r="GX127" s="102"/>
      <c r="GY127" s="102"/>
      <c r="GZ127" s="102"/>
      <c r="HA127" s="102"/>
      <c r="HB127" s="102"/>
      <c r="HC127" s="102"/>
      <c r="HD127" s="102"/>
      <c r="HE127" s="102"/>
      <c r="HF127" s="102"/>
      <c r="HG127" s="102"/>
      <c r="HH127" s="102"/>
      <c r="HI127" s="102"/>
      <c r="HJ127" s="102"/>
      <c r="HK127" s="102"/>
      <c r="HL127" s="102"/>
      <c r="HM127" s="102"/>
      <c r="HN127" s="102"/>
      <c r="HO127" s="102"/>
      <c r="HP127" s="102"/>
      <c r="HQ127" s="102"/>
      <c r="HR127" s="102"/>
      <c r="HS127" s="102"/>
      <c r="HT127" s="102"/>
      <c r="HU127" s="102"/>
      <c r="HV127" s="102"/>
      <c r="HW127" s="102"/>
      <c r="HX127" s="102"/>
      <c r="HY127" s="102"/>
      <c r="HZ127" s="102"/>
      <c r="IA127" s="102"/>
      <c r="IB127" s="102"/>
      <c r="IC127" s="102"/>
      <c r="ID127" s="102"/>
      <c r="IE127" s="102"/>
      <c r="IF127" s="102"/>
      <c r="IG127" s="102"/>
      <c r="IH127" s="102"/>
      <c r="II127" s="102"/>
      <c r="IJ127" s="102"/>
      <c r="IK127" s="102"/>
      <c r="IL127" s="102"/>
      <c r="IM127" s="102"/>
      <c r="IN127" s="102"/>
      <c r="IO127" s="102"/>
      <c r="IP127" s="102"/>
      <c r="IQ127" s="102"/>
      <c r="IR127" s="102"/>
      <c r="IS127" s="102"/>
      <c r="IT127" s="102"/>
      <c r="IU127" s="102"/>
      <c r="IV127" s="102"/>
      <c r="IW127" s="102"/>
      <c r="IX127" s="102"/>
      <c r="IY127" s="102"/>
      <c r="IZ127" s="102"/>
      <c r="JA127" s="102"/>
      <c r="JB127" s="102"/>
      <c r="JC127" s="102"/>
      <c r="JD127" s="102"/>
      <c r="JE127" s="102"/>
      <c r="JF127" s="102"/>
      <c r="JG127" s="102"/>
      <c r="JH127" s="102"/>
      <c r="JI127" s="102"/>
      <c r="JJ127" s="102"/>
      <c r="JK127" s="102"/>
      <c r="JL127" s="102"/>
      <c r="JM127" s="102"/>
      <c r="JN127" s="102"/>
      <c r="JO127" s="102"/>
      <c r="JP127" s="102"/>
      <c r="JQ127" s="102"/>
      <c r="JR127" s="102"/>
      <c r="JS127" s="102"/>
      <c r="JT127" s="102"/>
      <c r="JU127" s="102"/>
      <c r="JV127" s="102"/>
      <c r="JW127" s="102"/>
      <c r="JX127" s="102"/>
      <c r="JY127" s="102"/>
      <c r="JZ127" s="102"/>
      <c r="KA127" s="102"/>
      <c r="KB127" s="102"/>
      <c r="KC127" s="102"/>
      <c r="KD127" s="102"/>
      <c r="KE127" s="102"/>
      <c r="KF127" s="102"/>
      <c r="KG127" s="102"/>
      <c r="KH127" s="102"/>
      <c r="KI127" s="102"/>
      <c r="KJ127" s="102"/>
      <c r="KK127" s="102"/>
      <c r="KL127" s="102"/>
      <c r="KM127" s="102"/>
      <c r="KN127" s="102"/>
      <c r="KO127" s="102"/>
      <c r="KP127" s="102"/>
      <c r="KQ127" s="102"/>
      <c r="KR127" s="102"/>
      <c r="KS127" s="102"/>
      <c r="KT127" s="102"/>
      <c r="KU127" s="102"/>
      <c r="KV127" s="102"/>
      <c r="KW127" s="102"/>
      <c r="KX127" s="102"/>
      <c r="KY127" s="102"/>
      <c r="KZ127" s="102"/>
      <c r="LA127" s="102"/>
      <c r="LB127" s="102"/>
      <c r="LC127" s="102"/>
      <c r="LD127" s="102"/>
      <c r="LE127" s="102"/>
      <c r="LF127" s="102"/>
      <c r="LG127" s="102"/>
      <c r="LH127" s="102"/>
      <c r="LI127" s="102"/>
      <c r="LJ127" s="102"/>
      <c r="LK127" s="102"/>
      <c r="LL127" s="102"/>
      <c r="LM127" s="102"/>
      <c r="LN127" s="102"/>
      <c r="LO127" s="102"/>
      <c r="LP127" s="102"/>
      <c r="LQ127" s="102"/>
      <c r="LR127" s="102"/>
      <c r="LS127" s="102"/>
      <c r="LT127" s="102"/>
      <c r="LU127" s="102"/>
      <c r="LV127" s="102"/>
      <c r="LW127" s="102"/>
      <c r="LX127" s="102"/>
      <c r="LY127" s="102"/>
    </row>
    <row r="128" ht="15" customHeight="1">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c r="EO128" s="102"/>
      <c r="EP128" s="102"/>
      <c r="EQ128" s="102"/>
      <c r="ER128" s="102"/>
      <c r="ES128" s="102"/>
      <c r="ET128" s="102"/>
      <c r="EU128" s="102"/>
      <c r="EV128" s="102"/>
      <c r="EW128" s="102"/>
      <c r="EX128" s="102"/>
      <c r="EY128" s="102"/>
      <c r="EZ128" s="102"/>
      <c r="FA128" s="102"/>
      <c r="FB128" s="102"/>
      <c r="FC128" s="102"/>
      <c r="FD128" s="102"/>
      <c r="FE128" s="102"/>
      <c r="FF128" s="102"/>
      <c r="FG128" s="102"/>
      <c r="FH128" s="102"/>
      <c r="FI128" s="102"/>
      <c r="FJ128" s="102"/>
      <c r="FK128" s="102"/>
      <c r="FL128" s="102"/>
      <c r="FM128" s="102"/>
      <c r="FN128" s="102"/>
      <c r="FO128" s="102"/>
      <c r="FP128" s="102"/>
      <c r="FQ128" s="102"/>
      <c r="FR128" s="102"/>
      <c r="FS128" s="102"/>
      <c r="FT128" s="102"/>
      <c r="FU128" s="102"/>
      <c r="FV128" s="102"/>
      <c r="FW128" s="102"/>
      <c r="FX128" s="102"/>
      <c r="FY128" s="102"/>
      <c r="FZ128" s="102"/>
      <c r="GA128" s="102"/>
      <c r="GB128" s="102"/>
      <c r="GC128" s="102"/>
      <c r="GD128" s="102"/>
      <c r="GE128" s="102"/>
      <c r="GF128" s="102"/>
      <c r="GG128" s="102"/>
      <c r="GH128" s="102"/>
      <c r="GI128" s="102"/>
      <c r="GJ128" s="102"/>
      <c r="GK128" s="102"/>
      <c r="GL128" s="102"/>
      <c r="GM128" s="102"/>
      <c r="GN128" s="102"/>
      <c r="GO128" s="102"/>
      <c r="GP128" s="102"/>
      <c r="GQ128" s="102"/>
      <c r="GR128" s="102"/>
      <c r="GS128" s="102"/>
      <c r="GT128" s="102"/>
      <c r="GU128" s="102"/>
      <c r="GV128" s="102"/>
      <c r="GW128" s="102"/>
      <c r="GX128" s="102"/>
      <c r="GY128" s="102"/>
      <c r="GZ128" s="102"/>
      <c r="HA128" s="102"/>
      <c r="HB128" s="102"/>
      <c r="HC128" s="102"/>
      <c r="HD128" s="102"/>
      <c r="HE128" s="102"/>
      <c r="HF128" s="102"/>
      <c r="HG128" s="102"/>
      <c r="HH128" s="102"/>
      <c r="HI128" s="102"/>
      <c r="HJ128" s="102"/>
      <c r="HK128" s="102"/>
      <c r="HL128" s="102"/>
      <c r="HM128" s="102"/>
      <c r="HN128" s="102"/>
      <c r="HO128" s="102"/>
      <c r="HP128" s="102"/>
      <c r="HQ128" s="102"/>
      <c r="HR128" s="102"/>
      <c r="HS128" s="102"/>
      <c r="HT128" s="102"/>
      <c r="HU128" s="102"/>
      <c r="HV128" s="102"/>
      <c r="HW128" s="102"/>
      <c r="HX128" s="102"/>
      <c r="HY128" s="102"/>
      <c r="HZ128" s="102"/>
      <c r="IA128" s="102"/>
      <c r="IB128" s="102"/>
      <c r="IC128" s="102"/>
      <c r="ID128" s="102"/>
      <c r="IE128" s="102"/>
      <c r="IF128" s="102"/>
      <c r="IG128" s="102"/>
      <c r="IH128" s="102"/>
      <c r="II128" s="102"/>
      <c r="IJ128" s="102"/>
      <c r="IK128" s="102"/>
      <c r="IL128" s="102"/>
      <c r="IM128" s="102"/>
      <c r="IN128" s="102"/>
      <c r="IO128" s="102"/>
      <c r="IP128" s="102"/>
      <c r="IQ128" s="102"/>
      <c r="IR128" s="102"/>
      <c r="IS128" s="102"/>
      <c r="IT128" s="102"/>
      <c r="IU128" s="102"/>
      <c r="IV128" s="102"/>
      <c r="IW128" s="102"/>
      <c r="IX128" s="102"/>
      <c r="IY128" s="102"/>
      <c r="IZ128" s="102"/>
      <c r="JA128" s="102"/>
      <c r="JB128" s="102"/>
      <c r="JC128" s="102"/>
      <c r="JD128" s="102"/>
      <c r="JE128" s="102"/>
      <c r="JF128" s="102"/>
      <c r="JG128" s="102"/>
      <c r="JH128" s="102"/>
      <c r="JI128" s="102"/>
      <c r="JJ128" s="102"/>
      <c r="JK128" s="102"/>
      <c r="JL128" s="102"/>
      <c r="JM128" s="102"/>
      <c r="JN128" s="102"/>
      <c r="JO128" s="102"/>
      <c r="JP128" s="102"/>
      <c r="JQ128" s="102"/>
      <c r="JR128" s="102"/>
      <c r="JS128" s="102"/>
      <c r="JT128" s="102"/>
      <c r="JU128" s="102"/>
      <c r="JV128" s="102"/>
      <c r="JW128" s="102"/>
      <c r="JX128" s="102"/>
      <c r="JY128" s="102"/>
      <c r="JZ128" s="102"/>
      <c r="KA128" s="102"/>
      <c r="KB128" s="102"/>
      <c r="KC128" s="102"/>
      <c r="KD128" s="102"/>
      <c r="KE128" s="102"/>
      <c r="KF128" s="102"/>
      <c r="KG128" s="102"/>
      <c r="KH128" s="102"/>
      <c r="KI128" s="102"/>
      <c r="KJ128" s="102"/>
      <c r="KK128" s="102"/>
      <c r="KL128" s="102"/>
      <c r="KM128" s="102"/>
      <c r="KN128" s="102"/>
      <c r="KO128" s="102"/>
      <c r="KP128" s="102"/>
      <c r="KQ128" s="102"/>
      <c r="KR128" s="102"/>
      <c r="KS128" s="102"/>
      <c r="KT128" s="102"/>
      <c r="KU128" s="102"/>
      <c r="KV128" s="102"/>
      <c r="KW128" s="102"/>
      <c r="KX128" s="102"/>
      <c r="KY128" s="102"/>
      <c r="KZ128" s="102"/>
      <c r="LA128" s="102"/>
      <c r="LB128" s="102"/>
      <c r="LC128" s="102"/>
      <c r="LD128" s="102"/>
      <c r="LE128" s="102"/>
      <c r="LF128" s="102"/>
      <c r="LG128" s="102"/>
      <c r="LH128" s="102"/>
      <c r="LI128" s="102"/>
      <c r="LJ128" s="102"/>
      <c r="LK128" s="102"/>
      <c r="LL128" s="102"/>
      <c r="LM128" s="102"/>
      <c r="LN128" s="102"/>
      <c r="LO128" s="102"/>
      <c r="LP128" s="102"/>
      <c r="LQ128" s="102"/>
      <c r="LR128" s="102"/>
      <c r="LS128" s="102"/>
      <c r="LT128" s="102"/>
      <c r="LU128" s="102"/>
      <c r="LV128" s="102"/>
      <c r="LW128" s="102"/>
      <c r="LX128" s="102"/>
      <c r="LY128" s="102"/>
    </row>
    <row r="129" ht="15" customHeight="1">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c r="EO129" s="102"/>
      <c r="EP129" s="102"/>
      <c r="EQ129" s="102"/>
      <c r="ER129" s="102"/>
      <c r="ES129" s="102"/>
      <c r="ET129" s="102"/>
      <c r="EU129" s="102"/>
      <c r="EV129" s="102"/>
      <c r="EW129" s="102"/>
      <c r="EX129" s="102"/>
      <c r="EY129" s="102"/>
      <c r="EZ129" s="102"/>
      <c r="FA129" s="102"/>
      <c r="FB129" s="102"/>
      <c r="FC129" s="102"/>
      <c r="FD129" s="102"/>
      <c r="FE129" s="102"/>
      <c r="FF129" s="102"/>
      <c r="FG129" s="102"/>
      <c r="FH129" s="102"/>
      <c r="FI129" s="102"/>
      <c r="FJ129" s="102"/>
      <c r="FK129" s="102"/>
      <c r="FL129" s="102"/>
      <c r="FM129" s="102"/>
      <c r="FN129" s="102"/>
      <c r="FO129" s="102"/>
      <c r="FP129" s="102"/>
      <c r="FQ129" s="102"/>
      <c r="FR129" s="102"/>
      <c r="FS129" s="102"/>
      <c r="FT129" s="102"/>
      <c r="FU129" s="102"/>
      <c r="FV129" s="102"/>
      <c r="FW129" s="102"/>
      <c r="FX129" s="102"/>
      <c r="FY129" s="102"/>
      <c r="FZ129" s="102"/>
      <c r="GA129" s="102"/>
      <c r="GB129" s="102"/>
      <c r="GC129" s="102"/>
      <c r="GD129" s="102"/>
      <c r="GE129" s="102"/>
      <c r="GF129" s="102"/>
      <c r="GG129" s="102"/>
      <c r="GH129" s="102"/>
      <c r="GI129" s="102"/>
      <c r="GJ129" s="102"/>
      <c r="GK129" s="102"/>
      <c r="GL129" s="102"/>
      <c r="GM129" s="102"/>
      <c r="GN129" s="102"/>
      <c r="GO129" s="102"/>
      <c r="GP129" s="102"/>
      <c r="GQ129" s="102"/>
      <c r="GR129" s="102"/>
      <c r="GS129" s="102"/>
      <c r="GT129" s="102"/>
      <c r="GU129" s="102"/>
      <c r="GV129" s="102"/>
      <c r="GW129" s="102"/>
      <c r="GX129" s="102"/>
      <c r="GY129" s="102"/>
      <c r="GZ129" s="102"/>
      <c r="HA129" s="102"/>
      <c r="HB129" s="102"/>
      <c r="HC129" s="102"/>
      <c r="HD129" s="102"/>
      <c r="HE129" s="102"/>
      <c r="HF129" s="102"/>
      <c r="HG129" s="102"/>
      <c r="HH129" s="102"/>
      <c r="HI129" s="102"/>
      <c r="HJ129" s="102"/>
      <c r="HK129" s="102"/>
      <c r="HL129" s="102"/>
      <c r="HM129" s="102"/>
      <c r="HN129" s="102"/>
      <c r="HO129" s="102"/>
      <c r="HP129" s="102"/>
      <c r="HQ129" s="102"/>
      <c r="HR129" s="102"/>
      <c r="HS129" s="102"/>
      <c r="HT129" s="102"/>
      <c r="HU129" s="102"/>
      <c r="HV129" s="102"/>
      <c r="HW129" s="102"/>
      <c r="HX129" s="102"/>
      <c r="HY129" s="102"/>
      <c r="HZ129" s="102"/>
      <c r="IA129" s="102"/>
      <c r="IB129" s="102"/>
      <c r="IC129" s="102"/>
      <c r="ID129" s="102"/>
      <c r="IE129" s="102"/>
      <c r="IF129" s="102"/>
      <c r="IG129" s="102"/>
      <c r="IH129" s="102"/>
      <c r="II129" s="102"/>
      <c r="IJ129" s="102"/>
      <c r="IK129" s="102"/>
      <c r="IL129" s="102"/>
      <c r="IM129" s="102"/>
      <c r="IN129" s="102"/>
      <c r="IO129" s="102"/>
      <c r="IP129" s="102"/>
      <c r="IQ129" s="102"/>
      <c r="IR129" s="102"/>
      <c r="IS129" s="102"/>
      <c r="IT129" s="102"/>
      <c r="IU129" s="102"/>
      <c r="IV129" s="102"/>
      <c r="IW129" s="102"/>
      <c r="IX129" s="102"/>
      <c r="IY129" s="102"/>
      <c r="IZ129" s="102"/>
      <c r="JA129" s="102"/>
      <c r="JB129" s="102"/>
      <c r="JC129" s="102"/>
      <c r="JD129" s="102"/>
      <c r="JE129" s="102"/>
      <c r="JF129" s="102"/>
      <c r="JG129" s="102"/>
      <c r="JH129" s="102"/>
      <c r="JI129" s="102"/>
      <c r="JJ129" s="102"/>
      <c r="JK129" s="102"/>
      <c r="JL129" s="102"/>
      <c r="JM129" s="102"/>
      <c r="JN129" s="102"/>
      <c r="JO129" s="102"/>
      <c r="JP129" s="102"/>
      <c r="JQ129" s="102"/>
      <c r="JR129" s="102"/>
      <c r="JS129" s="102"/>
      <c r="JT129" s="102"/>
      <c r="JU129" s="102"/>
      <c r="JV129" s="102"/>
      <c r="JW129" s="102"/>
      <c r="JX129" s="102"/>
      <c r="JY129" s="102"/>
      <c r="JZ129" s="102"/>
      <c r="KA129" s="102"/>
      <c r="KB129" s="102"/>
      <c r="KC129" s="102"/>
      <c r="KD129" s="102"/>
      <c r="KE129" s="102"/>
      <c r="KF129" s="102"/>
      <c r="KG129" s="102"/>
      <c r="KH129" s="102"/>
      <c r="KI129" s="102"/>
      <c r="KJ129" s="102"/>
      <c r="KK129" s="102"/>
      <c r="KL129" s="102"/>
      <c r="KM129" s="102"/>
      <c r="KN129" s="102"/>
      <c r="KO129" s="102"/>
      <c r="KP129" s="102"/>
      <c r="KQ129" s="102"/>
      <c r="KR129" s="102"/>
      <c r="KS129" s="102"/>
      <c r="KT129" s="102"/>
      <c r="KU129" s="102"/>
      <c r="KV129" s="102"/>
      <c r="KW129" s="102"/>
      <c r="KX129" s="102"/>
      <c r="KY129" s="102"/>
      <c r="KZ129" s="102"/>
      <c r="LA129" s="102"/>
      <c r="LB129" s="102"/>
      <c r="LC129" s="102"/>
      <c r="LD129" s="102"/>
      <c r="LE129" s="102"/>
      <c r="LF129" s="102"/>
      <c r="LG129" s="102"/>
      <c r="LH129" s="102"/>
      <c r="LI129" s="102"/>
      <c r="LJ129" s="102"/>
      <c r="LK129" s="102"/>
      <c r="LL129" s="102"/>
      <c r="LM129" s="102"/>
      <c r="LN129" s="102"/>
      <c r="LO129" s="102"/>
      <c r="LP129" s="102"/>
      <c r="LQ129" s="102"/>
      <c r="LR129" s="102"/>
      <c r="LS129" s="102"/>
      <c r="LT129" s="102"/>
      <c r="LU129" s="102"/>
      <c r="LV129" s="102"/>
      <c r="LW129" s="102"/>
      <c r="LX129" s="102"/>
      <c r="LY129" s="102"/>
    </row>
    <row r="130" ht="15" customHeight="1">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c r="EO130" s="102"/>
      <c r="EP130" s="102"/>
      <c r="EQ130" s="102"/>
      <c r="ER130" s="102"/>
      <c r="ES130" s="102"/>
      <c r="ET130" s="102"/>
      <c r="EU130" s="102"/>
      <c r="EV130" s="102"/>
      <c r="EW130" s="102"/>
      <c r="EX130" s="102"/>
      <c r="EY130" s="102"/>
      <c r="EZ130" s="102"/>
      <c r="FA130" s="102"/>
      <c r="FB130" s="102"/>
      <c r="FC130" s="102"/>
      <c r="FD130" s="102"/>
      <c r="FE130" s="102"/>
      <c r="FF130" s="102"/>
      <c r="FG130" s="102"/>
      <c r="FH130" s="102"/>
      <c r="FI130" s="102"/>
      <c r="FJ130" s="102"/>
      <c r="FK130" s="102"/>
      <c r="FL130" s="102"/>
      <c r="FM130" s="102"/>
      <c r="FN130" s="102"/>
      <c r="FO130" s="102"/>
      <c r="FP130" s="102"/>
      <c r="FQ130" s="102"/>
      <c r="FR130" s="102"/>
      <c r="FS130" s="102"/>
      <c r="FT130" s="102"/>
      <c r="FU130" s="102"/>
      <c r="FV130" s="102"/>
      <c r="FW130" s="102"/>
      <c r="FX130" s="102"/>
      <c r="FY130" s="102"/>
      <c r="FZ130" s="102"/>
      <c r="GA130" s="102"/>
      <c r="GB130" s="102"/>
      <c r="GC130" s="102"/>
      <c r="GD130" s="102"/>
      <c r="GE130" s="102"/>
      <c r="GF130" s="102"/>
      <c r="GG130" s="102"/>
      <c r="GH130" s="102"/>
      <c r="GI130" s="102"/>
      <c r="GJ130" s="102"/>
      <c r="GK130" s="102"/>
      <c r="GL130" s="102"/>
      <c r="GM130" s="102"/>
      <c r="GN130" s="102"/>
      <c r="GO130" s="102"/>
      <c r="GP130" s="102"/>
      <c r="GQ130" s="102"/>
      <c r="GR130" s="102"/>
      <c r="GS130" s="102"/>
      <c r="GT130" s="102"/>
      <c r="GU130" s="102"/>
      <c r="GV130" s="102"/>
      <c r="GW130" s="102"/>
      <c r="GX130" s="102"/>
      <c r="GY130" s="102"/>
      <c r="GZ130" s="102"/>
      <c r="HA130" s="102"/>
      <c r="HB130" s="102"/>
      <c r="HC130" s="102"/>
      <c r="HD130" s="102"/>
      <c r="HE130" s="102"/>
      <c r="HF130" s="102"/>
      <c r="HG130" s="102"/>
      <c r="HH130" s="102"/>
      <c r="HI130" s="102"/>
      <c r="HJ130" s="102"/>
      <c r="HK130" s="102"/>
      <c r="HL130" s="102"/>
      <c r="HM130" s="102"/>
      <c r="HN130" s="102"/>
      <c r="HO130" s="102"/>
      <c r="HP130" s="102"/>
      <c r="HQ130" s="102"/>
      <c r="HR130" s="102"/>
      <c r="HS130" s="102"/>
      <c r="HT130" s="102"/>
      <c r="HU130" s="102"/>
      <c r="HV130" s="102"/>
      <c r="HW130" s="102"/>
      <c r="HX130" s="102"/>
      <c r="HY130" s="102"/>
      <c r="HZ130" s="102"/>
      <c r="IA130" s="102"/>
      <c r="IB130" s="102"/>
      <c r="IC130" s="102"/>
      <c r="ID130" s="102"/>
      <c r="IE130" s="102"/>
      <c r="IF130" s="102"/>
      <c r="IG130" s="102"/>
      <c r="IH130" s="102"/>
      <c r="II130" s="102"/>
      <c r="IJ130" s="102"/>
      <c r="IK130" s="102"/>
      <c r="IL130" s="102"/>
      <c r="IM130" s="102"/>
      <c r="IN130" s="102"/>
      <c r="IO130" s="102"/>
      <c r="IP130" s="102"/>
      <c r="IQ130" s="102"/>
      <c r="IR130" s="102"/>
      <c r="IS130" s="102"/>
      <c r="IT130" s="102"/>
      <c r="IU130" s="102"/>
      <c r="IV130" s="102"/>
      <c r="IW130" s="102"/>
      <c r="IX130" s="102"/>
      <c r="IY130" s="102"/>
      <c r="IZ130" s="102"/>
      <c r="JA130" s="102"/>
      <c r="JB130" s="102"/>
      <c r="JC130" s="102"/>
      <c r="JD130" s="102"/>
      <c r="JE130" s="102"/>
      <c r="JF130" s="102"/>
      <c r="JG130" s="102"/>
      <c r="JH130" s="102"/>
      <c r="JI130" s="102"/>
      <c r="JJ130" s="102"/>
      <c r="JK130" s="102"/>
      <c r="JL130" s="102"/>
      <c r="JM130" s="102"/>
      <c r="JN130" s="102"/>
      <c r="JO130" s="102"/>
      <c r="JP130" s="102"/>
      <c r="JQ130" s="102"/>
      <c r="JR130" s="102"/>
      <c r="JS130" s="102"/>
      <c r="JT130" s="102"/>
      <c r="JU130" s="102"/>
      <c r="JV130" s="102"/>
      <c r="JW130" s="102"/>
      <c r="JX130" s="102"/>
      <c r="JY130" s="102"/>
      <c r="JZ130" s="102"/>
      <c r="KA130" s="102"/>
      <c r="KB130" s="102"/>
      <c r="KC130" s="102"/>
      <c r="KD130" s="102"/>
      <c r="KE130" s="102"/>
      <c r="KF130" s="102"/>
      <c r="KG130" s="102"/>
      <c r="KH130" s="102"/>
      <c r="KI130" s="102"/>
      <c r="KJ130" s="102"/>
      <c r="KK130" s="102"/>
      <c r="KL130" s="102"/>
      <c r="KM130" s="102"/>
      <c r="KN130" s="102"/>
      <c r="KO130" s="102"/>
      <c r="KP130" s="102"/>
      <c r="KQ130" s="102"/>
      <c r="KR130" s="102"/>
      <c r="KS130" s="102"/>
      <c r="KT130" s="102"/>
      <c r="KU130" s="102"/>
      <c r="KV130" s="102"/>
      <c r="KW130" s="102"/>
      <c r="KX130" s="102"/>
      <c r="KY130" s="102"/>
      <c r="KZ130" s="102"/>
      <c r="LA130" s="102"/>
      <c r="LB130" s="102"/>
      <c r="LC130" s="102"/>
      <c r="LD130" s="102"/>
      <c r="LE130" s="102"/>
      <c r="LF130" s="102"/>
      <c r="LG130" s="102"/>
      <c r="LH130" s="102"/>
      <c r="LI130" s="102"/>
      <c r="LJ130" s="102"/>
      <c r="LK130" s="102"/>
      <c r="LL130" s="102"/>
      <c r="LM130" s="102"/>
      <c r="LN130" s="102"/>
      <c r="LO130" s="102"/>
      <c r="LP130" s="102"/>
      <c r="LQ130" s="102"/>
      <c r="LR130" s="102"/>
      <c r="LS130" s="102"/>
      <c r="LT130" s="102"/>
      <c r="LU130" s="102"/>
      <c r="LV130" s="102"/>
      <c r="LW130" s="102"/>
      <c r="LX130" s="102"/>
      <c r="LY130" s="102"/>
    </row>
    <row r="131" ht="15" customHeight="1">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c r="EO131" s="102"/>
      <c r="EP131" s="102"/>
      <c r="EQ131" s="102"/>
      <c r="ER131" s="102"/>
      <c r="ES131" s="102"/>
      <c r="ET131" s="102"/>
      <c r="EU131" s="102"/>
      <c r="EV131" s="102"/>
      <c r="EW131" s="102"/>
      <c r="EX131" s="102"/>
      <c r="EY131" s="102"/>
      <c r="EZ131" s="102"/>
      <c r="FA131" s="102"/>
      <c r="FB131" s="102"/>
      <c r="FC131" s="102"/>
      <c r="FD131" s="102"/>
      <c r="FE131" s="102"/>
      <c r="FF131" s="102"/>
      <c r="FG131" s="102"/>
      <c r="FH131" s="102"/>
      <c r="FI131" s="102"/>
      <c r="FJ131" s="102"/>
      <c r="FK131" s="102"/>
      <c r="FL131" s="102"/>
      <c r="FM131" s="102"/>
      <c r="FN131" s="102"/>
      <c r="FO131" s="102"/>
      <c r="FP131" s="102"/>
      <c r="FQ131" s="102"/>
      <c r="FR131" s="102"/>
      <c r="FS131" s="102"/>
      <c r="FT131" s="102"/>
      <c r="FU131" s="102"/>
      <c r="FV131" s="102"/>
      <c r="FW131" s="102"/>
      <c r="FX131" s="102"/>
      <c r="FY131" s="102"/>
      <c r="FZ131" s="102"/>
      <c r="GA131" s="102"/>
      <c r="GB131" s="102"/>
      <c r="GC131" s="102"/>
      <c r="GD131" s="102"/>
      <c r="GE131" s="102"/>
      <c r="GF131" s="102"/>
      <c r="GG131" s="102"/>
      <c r="GH131" s="102"/>
      <c r="GI131" s="102"/>
      <c r="GJ131" s="102"/>
      <c r="GK131" s="102"/>
      <c r="GL131" s="102"/>
      <c r="GM131" s="102"/>
      <c r="GN131" s="102"/>
      <c r="GO131" s="102"/>
      <c r="GP131" s="102"/>
      <c r="GQ131" s="102"/>
      <c r="GR131" s="102"/>
      <c r="GS131" s="102"/>
      <c r="GT131" s="102"/>
      <c r="GU131" s="102"/>
      <c r="GV131" s="102"/>
      <c r="GW131" s="102"/>
      <c r="GX131" s="102"/>
      <c r="GY131" s="102"/>
      <c r="GZ131" s="102"/>
      <c r="HA131" s="102"/>
      <c r="HB131" s="102"/>
      <c r="HC131" s="102"/>
      <c r="HD131" s="102"/>
      <c r="HE131" s="102"/>
      <c r="HF131" s="102"/>
      <c r="HG131" s="102"/>
      <c r="HH131" s="102"/>
      <c r="HI131" s="102"/>
      <c r="HJ131" s="102"/>
      <c r="HK131" s="102"/>
      <c r="HL131" s="102"/>
      <c r="HM131" s="102"/>
      <c r="HN131" s="102"/>
      <c r="HO131" s="102"/>
      <c r="HP131" s="102"/>
      <c r="HQ131" s="102"/>
      <c r="HR131" s="102"/>
      <c r="HS131" s="102"/>
      <c r="HT131" s="102"/>
      <c r="HU131" s="102"/>
      <c r="HV131" s="102"/>
      <c r="HW131" s="102"/>
      <c r="HX131" s="102"/>
      <c r="HY131" s="102"/>
      <c r="HZ131" s="102"/>
      <c r="IA131" s="102"/>
      <c r="IB131" s="102"/>
      <c r="IC131" s="102"/>
      <c r="ID131" s="102"/>
      <c r="IE131" s="102"/>
      <c r="IF131" s="102"/>
      <c r="IG131" s="102"/>
      <c r="IH131" s="102"/>
      <c r="II131" s="102"/>
      <c r="IJ131" s="102"/>
      <c r="IK131" s="102"/>
      <c r="IL131" s="102"/>
      <c r="IM131" s="102"/>
      <c r="IN131" s="102"/>
      <c r="IO131" s="102"/>
      <c r="IP131" s="102"/>
      <c r="IQ131" s="102"/>
      <c r="IR131" s="102"/>
      <c r="IS131" s="102"/>
      <c r="IT131" s="102"/>
      <c r="IU131" s="102"/>
      <c r="IV131" s="102"/>
      <c r="IW131" s="102"/>
      <c r="IX131" s="102"/>
      <c r="IY131" s="102"/>
      <c r="IZ131" s="102"/>
      <c r="JA131" s="102"/>
      <c r="JB131" s="102"/>
      <c r="JC131" s="102"/>
      <c r="JD131" s="102"/>
      <c r="JE131" s="102"/>
      <c r="JF131" s="102"/>
      <c r="JG131" s="102"/>
      <c r="JH131" s="102"/>
      <c r="JI131" s="102"/>
      <c r="JJ131" s="102"/>
      <c r="JK131" s="102"/>
      <c r="JL131" s="102"/>
      <c r="JM131" s="102"/>
      <c r="JN131" s="102"/>
      <c r="JO131" s="102"/>
      <c r="JP131" s="102"/>
      <c r="JQ131" s="102"/>
      <c r="JR131" s="102"/>
      <c r="JS131" s="102"/>
      <c r="JT131" s="102"/>
      <c r="JU131" s="102"/>
      <c r="JV131" s="102"/>
      <c r="JW131" s="102"/>
      <c r="JX131" s="102"/>
      <c r="JY131" s="102"/>
      <c r="JZ131" s="102"/>
      <c r="KA131" s="102"/>
      <c r="KB131" s="102"/>
      <c r="KC131" s="102"/>
      <c r="KD131" s="102"/>
      <c r="KE131" s="102"/>
      <c r="KF131" s="102"/>
      <c r="KG131" s="102"/>
      <c r="KH131" s="102"/>
      <c r="KI131" s="102"/>
      <c r="KJ131" s="102"/>
      <c r="KK131" s="102"/>
      <c r="KL131" s="102"/>
      <c r="KM131" s="102"/>
      <c r="KN131" s="102"/>
      <c r="KO131" s="102"/>
      <c r="KP131" s="102"/>
      <c r="KQ131" s="102"/>
      <c r="KR131" s="102"/>
      <c r="KS131" s="102"/>
      <c r="KT131" s="102"/>
      <c r="KU131" s="102"/>
      <c r="KV131" s="102"/>
      <c r="KW131" s="102"/>
      <c r="KX131" s="102"/>
      <c r="KY131" s="102"/>
      <c r="KZ131" s="102"/>
      <c r="LA131" s="102"/>
      <c r="LB131" s="102"/>
      <c r="LC131" s="102"/>
      <c r="LD131" s="102"/>
      <c r="LE131" s="102"/>
      <c r="LF131" s="102"/>
      <c r="LG131" s="102"/>
      <c r="LH131" s="102"/>
      <c r="LI131" s="102"/>
      <c r="LJ131" s="102"/>
      <c r="LK131" s="102"/>
      <c r="LL131" s="102"/>
      <c r="LM131" s="102"/>
      <c r="LN131" s="102"/>
      <c r="LO131" s="102"/>
      <c r="LP131" s="102"/>
      <c r="LQ131" s="102"/>
      <c r="LR131" s="102"/>
      <c r="LS131" s="102"/>
      <c r="LT131" s="102"/>
      <c r="LU131" s="102"/>
      <c r="LV131" s="102"/>
      <c r="LW131" s="102"/>
      <c r="LX131" s="102"/>
      <c r="LY131" s="102"/>
    </row>
    <row r="132" ht="15" customHeight="1">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c r="EO132" s="102"/>
      <c r="EP132" s="102"/>
      <c r="EQ132" s="102"/>
      <c r="ER132" s="102"/>
      <c r="ES132" s="102"/>
      <c r="ET132" s="102"/>
      <c r="EU132" s="102"/>
      <c r="EV132" s="102"/>
      <c r="EW132" s="102"/>
      <c r="EX132" s="102"/>
      <c r="EY132" s="102"/>
      <c r="EZ132" s="102"/>
      <c r="FA132" s="102"/>
      <c r="FB132" s="102"/>
      <c r="FC132" s="102"/>
      <c r="FD132" s="102"/>
      <c r="FE132" s="102"/>
      <c r="FF132" s="102"/>
      <c r="FG132" s="102"/>
      <c r="FH132" s="102"/>
      <c r="FI132" s="102"/>
      <c r="FJ132" s="102"/>
      <c r="FK132" s="102"/>
      <c r="FL132" s="102"/>
      <c r="FM132" s="102"/>
      <c r="FN132" s="102"/>
      <c r="FO132" s="102"/>
      <c r="FP132" s="102"/>
      <c r="FQ132" s="102"/>
      <c r="FR132" s="102"/>
      <c r="FS132" s="102"/>
      <c r="FT132" s="102"/>
      <c r="FU132" s="102"/>
      <c r="FV132" s="102"/>
      <c r="FW132" s="102"/>
      <c r="FX132" s="102"/>
      <c r="FY132" s="102"/>
      <c r="FZ132" s="102"/>
      <c r="GA132" s="102"/>
      <c r="GB132" s="102"/>
      <c r="GC132" s="102"/>
      <c r="GD132" s="102"/>
      <c r="GE132" s="102"/>
      <c r="GF132" s="102"/>
      <c r="GG132" s="102"/>
      <c r="GH132" s="102"/>
      <c r="GI132" s="102"/>
      <c r="GJ132" s="102"/>
      <c r="GK132" s="102"/>
      <c r="GL132" s="102"/>
      <c r="GM132" s="102"/>
      <c r="GN132" s="102"/>
      <c r="GO132" s="102"/>
      <c r="GP132" s="102"/>
      <c r="GQ132" s="102"/>
      <c r="GR132" s="102"/>
      <c r="GS132" s="102"/>
      <c r="GT132" s="102"/>
      <c r="GU132" s="102"/>
      <c r="GV132" s="102"/>
      <c r="GW132" s="102"/>
      <c r="GX132" s="102"/>
      <c r="GY132" s="102"/>
      <c r="GZ132" s="102"/>
      <c r="HA132" s="102"/>
      <c r="HB132" s="102"/>
      <c r="HC132" s="102"/>
      <c r="HD132" s="102"/>
      <c r="HE132" s="102"/>
      <c r="HF132" s="102"/>
      <c r="HG132" s="102"/>
      <c r="HH132" s="102"/>
      <c r="HI132" s="102"/>
      <c r="HJ132" s="102"/>
      <c r="HK132" s="102"/>
      <c r="HL132" s="102"/>
      <c r="HM132" s="102"/>
      <c r="HN132" s="102"/>
      <c r="HO132" s="102"/>
      <c r="HP132" s="102"/>
      <c r="HQ132" s="102"/>
      <c r="HR132" s="102"/>
      <c r="HS132" s="102"/>
      <c r="HT132" s="102"/>
      <c r="HU132" s="102"/>
      <c r="HV132" s="102"/>
      <c r="HW132" s="102"/>
      <c r="HX132" s="102"/>
      <c r="HY132" s="102"/>
      <c r="HZ132" s="102"/>
      <c r="IA132" s="102"/>
      <c r="IB132" s="102"/>
      <c r="IC132" s="102"/>
      <c r="ID132" s="102"/>
      <c r="IE132" s="102"/>
      <c r="IF132" s="102"/>
      <c r="IG132" s="102"/>
      <c r="IH132" s="102"/>
      <c r="II132" s="102"/>
      <c r="IJ132" s="102"/>
      <c r="IK132" s="102"/>
      <c r="IL132" s="102"/>
      <c r="IM132" s="102"/>
      <c r="IN132" s="102"/>
      <c r="IO132" s="102"/>
      <c r="IP132" s="102"/>
      <c r="IQ132" s="102"/>
      <c r="IR132" s="102"/>
      <c r="IS132" s="102"/>
      <c r="IT132" s="102"/>
      <c r="IU132" s="102"/>
      <c r="IV132" s="102"/>
      <c r="IW132" s="102"/>
      <c r="IX132" s="102"/>
      <c r="IY132" s="102"/>
      <c r="IZ132" s="102"/>
      <c r="JA132" s="102"/>
      <c r="JB132" s="102"/>
      <c r="JC132" s="102"/>
      <c r="JD132" s="102"/>
      <c r="JE132" s="102"/>
      <c r="JF132" s="102"/>
      <c r="JG132" s="102"/>
      <c r="JH132" s="102"/>
      <c r="JI132" s="102"/>
      <c r="JJ132" s="102"/>
      <c r="JK132" s="102"/>
      <c r="JL132" s="102"/>
      <c r="JM132" s="102"/>
      <c r="JN132" s="102"/>
      <c r="JO132" s="102"/>
      <c r="JP132" s="102"/>
      <c r="JQ132" s="102"/>
      <c r="JR132" s="102"/>
      <c r="JS132" s="102"/>
      <c r="JT132" s="102"/>
      <c r="JU132" s="102"/>
      <c r="JV132" s="102"/>
      <c r="JW132" s="102"/>
      <c r="JX132" s="102"/>
      <c r="JY132" s="102"/>
      <c r="JZ132" s="102"/>
      <c r="KA132" s="102"/>
      <c r="KB132" s="102"/>
      <c r="KC132" s="102"/>
      <c r="KD132" s="102"/>
      <c r="KE132" s="102"/>
      <c r="KF132" s="102"/>
      <c r="KG132" s="102"/>
      <c r="KH132" s="102"/>
      <c r="KI132" s="102"/>
      <c r="KJ132" s="102"/>
      <c r="KK132" s="102"/>
      <c r="KL132" s="102"/>
      <c r="KM132" s="102"/>
      <c r="KN132" s="102"/>
      <c r="KO132" s="102"/>
      <c r="KP132" s="102"/>
      <c r="KQ132" s="102"/>
      <c r="KR132" s="102"/>
      <c r="KS132" s="102"/>
      <c r="KT132" s="102"/>
      <c r="KU132" s="102"/>
      <c r="KV132" s="102"/>
      <c r="KW132" s="102"/>
      <c r="KX132" s="102"/>
      <c r="KY132" s="102"/>
      <c r="KZ132" s="102"/>
      <c r="LA132" s="102"/>
      <c r="LB132" s="102"/>
      <c r="LC132" s="102"/>
      <c r="LD132" s="102"/>
      <c r="LE132" s="102"/>
      <c r="LF132" s="102"/>
      <c r="LG132" s="102"/>
      <c r="LH132" s="102"/>
      <c r="LI132" s="102"/>
      <c r="LJ132" s="102"/>
      <c r="LK132" s="102"/>
      <c r="LL132" s="102"/>
      <c r="LM132" s="102"/>
      <c r="LN132" s="102"/>
      <c r="LO132" s="102"/>
      <c r="LP132" s="102"/>
      <c r="LQ132" s="102"/>
      <c r="LR132" s="102"/>
      <c r="LS132" s="102"/>
      <c r="LT132" s="102"/>
      <c r="LU132" s="102"/>
      <c r="LV132" s="102"/>
      <c r="LW132" s="102"/>
      <c r="LX132" s="102"/>
      <c r="LY132" s="102"/>
    </row>
    <row r="133" ht="15" customHeight="1">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c r="EO133" s="102"/>
      <c r="EP133" s="102"/>
      <c r="EQ133" s="102"/>
      <c r="ER133" s="102"/>
      <c r="ES133" s="102"/>
      <c r="ET133" s="102"/>
      <c r="EU133" s="102"/>
      <c r="EV133" s="102"/>
      <c r="EW133" s="102"/>
      <c r="EX133" s="102"/>
      <c r="EY133" s="102"/>
      <c r="EZ133" s="102"/>
      <c r="FA133" s="102"/>
      <c r="FB133" s="102"/>
      <c r="FC133" s="102"/>
      <c r="FD133" s="102"/>
      <c r="FE133" s="102"/>
      <c r="FF133" s="102"/>
      <c r="FG133" s="102"/>
      <c r="FH133" s="102"/>
      <c r="FI133" s="102"/>
      <c r="FJ133" s="102"/>
      <c r="FK133" s="102"/>
      <c r="FL133" s="102"/>
      <c r="FM133" s="102"/>
      <c r="FN133" s="102"/>
      <c r="FO133" s="102"/>
      <c r="FP133" s="102"/>
      <c r="FQ133" s="102"/>
      <c r="FR133" s="102"/>
      <c r="FS133" s="102"/>
      <c r="FT133" s="102"/>
      <c r="FU133" s="102"/>
      <c r="FV133" s="102"/>
      <c r="FW133" s="102"/>
      <c r="FX133" s="102"/>
      <c r="FY133" s="102"/>
      <c r="FZ133" s="102"/>
      <c r="GA133" s="102"/>
      <c r="GB133" s="102"/>
      <c r="GC133" s="102"/>
      <c r="GD133" s="102"/>
      <c r="GE133" s="102"/>
      <c r="GF133" s="102"/>
      <c r="GG133" s="102"/>
      <c r="GH133" s="102"/>
      <c r="GI133" s="102"/>
      <c r="GJ133" s="102"/>
      <c r="GK133" s="102"/>
      <c r="GL133" s="102"/>
      <c r="GM133" s="102"/>
      <c r="GN133" s="102"/>
      <c r="GO133" s="102"/>
      <c r="GP133" s="102"/>
      <c r="GQ133" s="102"/>
      <c r="GR133" s="102"/>
      <c r="GS133" s="102"/>
      <c r="GT133" s="102"/>
      <c r="GU133" s="102"/>
      <c r="GV133" s="102"/>
      <c r="GW133" s="102"/>
      <c r="GX133" s="102"/>
      <c r="GY133" s="102"/>
      <c r="GZ133" s="102"/>
      <c r="HA133" s="102"/>
      <c r="HB133" s="102"/>
      <c r="HC133" s="102"/>
      <c r="HD133" s="102"/>
      <c r="HE133" s="102"/>
      <c r="HF133" s="102"/>
      <c r="HG133" s="102"/>
      <c r="HH133" s="102"/>
      <c r="HI133" s="102"/>
      <c r="HJ133" s="102"/>
      <c r="HK133" s="102"/>
      <c r="HL133" s="102"/>
      <c r="HM133" s="102"/>
      <c r="HN133" s="102"/>
      <c r="HO133" s="102"/>
      <c r="HP133" s="102"/>
      <c r="HQ133" s="102"/>
      <c r="HR133" s="102"/>
      <c r="HS133" s="102"/>
      <c r="HT133" s="102"/>
      <c r="HU133" s="102"/>
      <c r="HV133" s="102"/>
      <c r="HW133" s="102"/>
      <c r="HX133" s="102"/>
      <c r="HY133" s="102"/>
      <c r="HZ133" s="102"/>
      <c r="IA133" s="102"/>
      <c r="IB133" s="102"/>
      <c r="IC133" s="102"/>
      <c r="ID133" s="102"/>
      <c r="IE133" s="102"/>
      <c r="IF133" s="102"/>
      <c r="IG133" s="102"/>
      <c r="IH133" s="102"/>
      <c r="II133" s="102"/>
      <c r="IJ133" s="102"/>
      <c r="IK133" s="102"/>
      <c r="IL133" s="102"/>
      <c r="IM133" s="102"/>
      <c r="IN133" s="102"/>
      <c r="IO133" s="102"/>
      <c r="IP133" s="102"/>
      <c r="IQ133" s="102"/>
      <c r="IR133" s="102"/>
      <c r="IS133" s="102"/>
      <c r="IT133" s="102"/>
      <c r="IU133" s="102"/>
      <c r="IV133" s="102"/>
      <c r="IW133" s="102"/>
      <c r="IX133" s="102"/>
      <c r="IY133" s="102"/>
      <c r="IZ133" s="102"/>
      <c r="JA133" s="102"/>
      <c r="JB133" s="102"/>
      <c r="JC133" s="102"/>
      <c r="JD133" s="102"/>
      <c r="JE133" s="102"/>
      <c r="JF133" s="102"/>
      <c r="JG133" s="102"/>
      <c r="JH133" s="102"/>
      <c r="JI133" s="102"/>
      <c r="JJ133" s="102"/>
      <c r="JK133" s="102"/>
      <c r="JL133" s="102"/>
      <c r="JM133" s="102"/>
      <c r="JN133" s="102"/>
      <c r="JO133" s="102"/>
      <c r="JP133" s="102"/>
      <c r="JQ133" s="102"/>
      <c r="JR133" s="102"/>
      <c r="JS133" s="102"/>
      <c r="JT133" s="102"/>
      <c r="JU133" s="102"/>
      <c r="JV133" s="102"/>
      <c r="JW133" s="102"/>
      <c r="JX133" s="102"/>
      <c r="JY133" s="102"/>
      <c r="JZ133" s="102"/>
      <c r="KA133" s="102"/>
      <c r="KB133" s="102"/>
      <c r="KC133" s="102"/>
      <c r="KD133" s="102"/>
      <c r="KE133" s="102"/>
      <c r="KF133" s="102"/>
      <c r="KG133" s="102"/>
      <c r="KH133" s="102"/>
      <c r="KI133" s="102"/>
      <c r="KJ133" s="102"/>
      <c r="KK133" s="102"/>
      <c r="KL133" s="102"/>
      <c r="KM133" s="102"/>
      <c r="KN133" s="102"/>
      <c r="KO133" s="102"/>
      <c r="KP133" s="102"/>
      <c r="KQ133" s="102"/>
      <c r="KR133" s="102"/>
      <c r="KS133" s="102"/>
      <c r="KT133" s="102"/>
      <c r="KU133" s="102"/>
      <c r="KV133" s="102"/>
      <c r="KW133" s="102"/>
      <c r="KX133" s="102"/>
      <c r="KY133" s="102"/>
      <c r="KZ133" s="102"/>
      <c r="LA133" s="102"/>
      <c r="LB133" s="102"/>
      <c r="LC133" s="102"/>
      <c r="LD133" s="102"/>
      <c r="LE133" s="102"/>
      <c r="LF133" s="102"/>
      <c r="LG133" s="102"/>
      <c r="LH133" s="102"/>
      <c r="LI133" s="102"/>
      <c r="LJ133" s="102"/>
      <c r="LK133" s="102"/>
      <c r="LL133" s="102"/>
      <c r="LM133" s="102"/>
      <c r="LN133" s="102"/>
      <c r="LO133" s="102"/>
      <c r="LP133" s="102"/>
      <c r="LQ133" s="102"/>
      <c r="LR133" s="102"/>
      <c r="LS133" s="102"/>
      <c r="LT133" s="102"/>
      <c r="LU133" s="102"/>
      <c r="LV133" s="102"/>
      <c r="LW133" s="102"/>
      <c r="LX133" s="102"/>
      <c r="LY133" s="102"/>
    </row>
    <row r="134" ht="15" customHeight="1">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c r="EO134" s="102"/>
      <c r="EP134" s="102"/>
      <c r="EQ134" s="102"/>
      <c r="ER134" s="102"/>
      <c r="ES134" s="102"/>
      <c r="ET134" s="102"/>
      <c r="EU134" s="102"/>
      <c r="EV134" s="102"/>
      <c r="EW134" s="102"/>
      <c r="EX134" s="102"/>
      <c r="EY134" s="102"/>
      <c r="EZ134" s="102"/>
      <c r="FA134" s="102"/>
      <c r="FB134" s="102"/>
      <c r="FC134" s="102"/>
      <c r="FD134" s="102"/>
      <c r="FE134" s="102"/>
      <c r="FF134" s="102"/>
      <c r="FG134" s="102"/>
      <c r="FH134" s="102"/>
      <c r="FI134" s="102"/>
      <c r="FJ134" s="102"/>
      <c r="FK134" s="102"/>
      <c r="FL134" s="102"/>
      <c r="FM134" s="102"/>
      <c r="FN134" s="102"/>
      <c r="FO134" s="102"/>
      <c r="FP134" s="102"/>
      <c r="FQ134" s="102"/>
      <c r="FR134" s="102"/>
      <c r="FS134" s="102"/>
      <c r="FT134" s="102"/>
      <c r="FU134" s="102"/>
      <c r="FV134" s="102"/>
      <c r="FW134" s="102"/>
      <c r="FX134" s="102"/>
      <c r="FY134" s="102"/>
      <c r="FZ134" s="102"/>
      <c r="GA134" s="102"/>
      <c r="GB134" s="102"/>
      <c r="GC134" s="102"/>
      <c r="GD134" s="102"/>
      <c r="GE134" s="102"/>
      <c r="GF134" s="102"/>
      <c r="GG134" s="102"/>
      <c r="GH134" s="102"/>
      <c r="GI134" s="102"/>
      <c r="GJ134" s="102"/>
      <c r="GK134" s="102"/>
      <c r="GL134" s="102"/>
      <c r="GM134" s="102"/>
      <c r="GN134" s="102"/>
      <c r="GO134" s="102"/>
      <c r="GP134" s="102"/>
      <c r="GQ134" s="102"/>
      <c r="GR134" s="102"/>
      <c r="GS134" s="102"/>
      <c r="GT134" s="102"/>
      <c r="GU134" s="102"/>
      <c r="GV134" s="102"/>
      <c r="GW134" s="102"/>
      <c r="GX134" s="102"/>
      <c r="GY134" s="102"/>
      <c r="GZ134" s="102"/>
      <c r="HA134" s="102"/>
      <c r="HB134" s="102"/>
      <c r="HC134" s="102"/>
      <c r="HD134" s="102"/>
      <c r="HE134" s="102"/>
      <c r="HF134" s="102"/>
      <c r="HG134" s="102"/>
      <c r="HH134" s="102"/>
      <c r="HI134" s="102"/>
      <c r="HJ134" s="102"/>
      <c r="HK134" s="102"/>
      <c r="HL134" s="102"/>
      <c r="HM134" s="102"/>
      <c r="HN134" s="102"/>
      <c r="HO134" s="102"/>
      <c r="HP134" s="102"/>
      <c r="HQ134" s="102"/>
      <c r="HR134" s="102"/>
      <c r="HS134" s="102"/>
      <c r="HT134" s="102"/>
      <c r="HU134" s="102"/>
      <c r="HV134" s="102"/>
      <c r="HW134" s="102"/>
      <c r="HX134" s="102"/>
      <c r="HY134" s="102"/>
      <c r="HZ134" s="102"/>
      <c r="IA134" s="102"/>
      <c r="IB134" s="102"/>
      <c r="IC134" s="102"/>
      <c r="ID134" s="102"/>
      <c r="IE134" s="102"/>
      <c r="IF134" s="102"/>
      <c r="IG134" s="102"/>
      <c r="IH134" s="102"/>
      <c r="II134" s="102"/>
      <c r="IJ134" s="102"/>
      <c r="IK134" s="102"/>
      <c r="IL134" s="102"/>
      <c r="IM134" s="102"/>
      <c r="IN134" s="102"/>
      <c r="IO134" s="102"/>
      <c r="IP134" s="102"/>
      <c r="IQ134" s="102"/>
      <c r="IR134" s="102"/>
      <c r="IS134" s="102"/>
      <c r="IT134" s="102"/>
      <c r="IU134" s="102"/>
      <c r="IV134" s="102"/>
      <c r="IW134" s="102"/>
      <c r="IX134" s="102"/>
      <c r="IY134" s="102"/>
      <c r="IZ134" s="102"/>
      <c r="JA134" s="102"/>
      <c r="JB134" s="102"/>
      <c r="JC134" s="102"/>
      <c r="JD134" s="102"/>
      <c r="JE134" s="102"/>
      <c r="JF134" s="102"/>
      <c r="JG134" s="102"/>
      <c r="JH134" s="102"/>
      <c r="JI134" s="102"/>
      <c r="JJ134" s="102"/>
      <c r="JK134" s="102"/>
      <c r="JL134" s="102"/>
      <c r="JM134" s="102"/>
      <c r="JN134" s="102"/>
      <c r="JO134" s="102"/>
      <c r="JP134" s="102"/>
      <c r="JQ134" s="102"/>
      <c r="JR134" s="102"/>
      <c r="JS134" s="102"/>
      <c r="JT134" s="102"/>
      <c r="JU134" s="102"/>
      <c r="JV134" s="102"/>
      <c r="JW134" s="102"/>
      <c r="JX134" s="102"/>
      <c r="JY134" s="102"/>
      <c r="JZ134" s="102"/>
      <c r="KA134" s="102"/>
      <c r="KB134" s="102"/>
      <c r="KC134" s="102"/>
      <c r="KD134" s="102"/>
      <c r="KE134" s="102"/>
      <c r="KF134" s="102"/>
      <c r="KG134" s="102"/>
      <c r="KH134" s="102"/>
      <c r="KI134" s="102"/>
      <c r="KJ134" s="102"/>
      <c r="KK134" s="102"/>
      <c r="KL134" s="102"/>
      <c r="KM134" s="102"/>
      <c r="KN134" s="102"/>
      <c r="KO134" s="102"/>
      <c r="KP134" s="102"/>
      <c r="KQ134" s="102"/>
      <c r="KR134" s="102"/>
      <c r="KS134" s="102"/>
      <c r="KT134" s="102"/>
      <c r="KU134" s="102"/>
      <c r="KV134" s="102"/>
      <c r="KW134" s="102"/>
      <c r="KX134" s="102"/>
      <c r="KY134" s="102"/>
      <c r="KZ134" s="102"/>
      <c r="LA134" s="102"/>
      <c r="LB134" s="102"/>
      <c r="LC134" s="102"/>
      <c r="LD134" s="102"/>
      <c r="LE134" s="102"/>
      <c r="LF134" s="102"/>
      <c r="LG134" s="102"/>
      <c r="LH134" s="102"/>
      <c r="LI134" s="102"/>
      <c r="LJ134" s="102"/>
      <c r="LK134" s="102"/>
      <c r="LL134" s="102"/>
      <c r="LM134" s="102"/>
      <c r="LN134" s="102"/>
      <c r="LO134" s="102"/>
      <c r="LP134" s="102"/>
      <c r="LQ134" s="102"/>
      <c r="LR134" s="102"/>
      <c r="LS134" s="102"/>
      <c r="LT134" s="102"/>
      <c r="LU134" s="102"/>
      <c r="LV134" s="102"/>
      <c r="LW134" s="102"/>
      <c r="LX134" s="102"/>
      <c r="LY134" s="102"/>
    </row>
    <row r="135" ht="15" customHeight="1">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c r="EO135" s="102"/>
      <c r="EP135" s="102"/>
      <c r="EQ135" s="102"/>
      <c r="ER135" s="102"/>
      <c r="ES135" s="102"/>
      <c r="ET135" s="102"/>
      <c r="EU135" s="102"/>
      <c r="EV135" s="102"/>
      <c r="EW135" s="102"/>
      <c r="EX135" s="102"/>
      <c r="EY135" s="102"/>
      <c r="EZ135" s="102"/>
      <c r="FA135" s="102"/>
      <c r="FB135" s="102"/>
      <c r="FC135" s="102"/>
      <c r="FD135" s="102"/>
      <c r="FE135" s="102"/>
      <c r="FF135" s="102"/>
      <c r="FG135" s="102"/>
      <c r="FH135" s="102"/>
      <c r="FI135" s="102"/>
      <c r="FJ135" s="102"/>
      <c r="FK135" s="102"/>
      <c r="FL135" s="102"/>
      <c r="FM135" s="102"/>
      <c r="FN135" s="102"/>
      <c r="FO135" s="102"/>
      <c r="FP135" s="102"/>
      <c r="FQ135" s="102"/>
      <c r="FR135" s="102"/>
      <c r="FS135" s="102"/>
      <c r="FT135" s="102"/>
      <c r="FU135" s="102"/>
      <c r="FV135" s="102"/>
      <c r="FW135" s="102"/>
      <c r="FX135" s="102"/>
      <c r="FY135" s="102"/>
      <c r="FZ135" s="102"/>
      <c r="GA135" s="102"/>
      <c r="GB135" s="102"/>
      <c r="GC135" s="102"/>
      <c r="GD135" s="102"/>
      <c r="GE135" s="102"/>
      <c r="GF135" s="102"/>
      <c r="GG135" s="102"/>
      <c r="GH135" s="102"/>
      <c r="GI135" s="102"/>
      <c r="GJ135" s="102"/>
      <c r="GK135" s="102"/>
      <c r="GL135" s="102"/>
      <c r="GM135" s="102"/>
      <c r="GN135" s="102"/>
      <c r="GO135" s="102"/>
      <c r="GP135" s="102"/>
      <c r="GQ135" s="102"/>
      <c r="GR135" s="102"/>
      <c r="GS135" s="102"/>
      <c r="GT135" s="102"/>
      <c r="GU135" s="102"/>
      <c r="GV135" s="102"/>
      <c r="GW135" s="102"/>
      <c r="GX135" s="102"/>
      <c r="GY135" s="102"/>
      <c r="GZ135" s="102"/>
      <c r="HA135" s="102"/>
      <c r="HB135" s="102"/>
      <c r="HC135" s="102"/>
      <c r="HD135" s="102"/>
      <c r="HE135" s="102"/>
      <c r="HF135" s="102"/>
      <c r="HG135" s="102"/>
      <c r="HH135" s="102"/>
      <c r="HI135" s="102"/>
      <c r="HJ135" s="102"/>
      <c r="HK135" s="102"/>
      <c r="HL135" s="102"/>
      <c r="HM135" s="102"/>
      <c r="HN135" s="102"/>
      <c r="HO135" s="102"/>
      <c r="HP135" s="102"/>
      <c r="HQ135" s="102"/>
      <c r="HR135" s="102"/>
      <c r="HS135" s="102"/>
      <c r="HT135" s="102"/>
      <c r="HU135" s="102"/>
      <c r="HV135" s="102"/>
      <c r="HW135" s="102"/>
      <c r="HX135" s="102"/>
      <c r="HY135" s="102"/>
      <c r="HZ135" s="102"/>
      <c r="IA135" s="102"/>
      <c r="IB135" s="102"/>
      <c r="IC135" s="102"/>
      <c r="ID135" s="102"/>
      <c r="IE135" s="102"/>
      <c r="IF135" s="102"/>
      <c r="IG135" s="102"/>
      <c r="IH135" s="102"/>
      <c r="II135" s="102"/>
      <c r="IJ135" s="102"/>
      <c r="IK135" s="102"/>
      <c r="IL135" s="102"/>
      <c r="IM135" s="102"/>
      <c r="IN135" s="102"/>
      <c r="IO135" s="102"/>
      <c r="IP135" s="102"/>
      <c r="IQ135" s="102"/>
      <c r="IR135" s="102"/>
      <c r="IS135" s="102"/>
      <c r="IT135" s="102"/>
      <c r="IU135" s="102"/>
      <c r="IV135" s="102"/>
      <c r="IW135" s="102"/>
      <c r="IX135" s="102"/>
      <c r="IY135" s="102"/>
      <c r="IZ135" s="102"/>
      <c r="JA135" s="102"/>
      <c r="JB135" s="102"/>
      <c r="JC135" s="102"/>
      <c r="JD135" s="102"/>
      <c r="JE135" s="102"/>
      <c r="JF135" s="102"/>
      <c r="JG135" s="102"/>
      <c r="JH135" s="102"/>
      <c r="JI135" s="102"/>
      <c r="JJ135" s="102"/>
      <c r="JK135" s="102"/>
      <c r="JL135" s="102"/>
      <c r="JM135" s="102"/>
      <c r="JN135" s="102"/>
      <c r="JO135" s="102"/>
      <c r="JP135" s="102"/>
      <c r="JQ135" s="102"/>
      <c r="JR135" s="102"/>
      <c r="JS135" s="102"/>
      <c r="JT135" s="102"/>
      <c r="JU135" s="102"/>
      <c r="JV135" s="102"/>
      <c r="JW135" s="102"/>
      <c r="JX135" s="102"/>
      <c r="JY135" s="102"/>
      <c r="JZ135" s="102"/>
      <c r="KA135" s="102"/>
      <c r="KB135" s="102"/>
      <c r="KC135" s="102"/>
      <c r="KD135" s="102"/>
      <c r="KE135" s="102"/>
      <c r="KF135" s="102"/>
      <c r="KG135" s="102"/>
      <c r="KH135" s="102"/>
      <c r="KI135" s="102"/>
      <c r="KJ135" s="102"/>
      <c r="KK135" s="102"/>
      <c r="KL135" s="102"/>
      <c r="KM135" s="102"/>
      <c r="KN135" s="102"/>
      <c r="KO135" s="102"/>
      <c r="KP135" s="102"/>
      <c r="KQ135" s="102"/>
      <c r="KR135" s="102"/>
      <c r="KS135" s="102"/>
      <c r="KT135" s="102"/>
      <c r="KU135" s="102"/>
      <c r="KV135" s="102"/>
      <c r="KW135" s="102"/>
      <c r="KX135" s="102"/>
      <c r="KY135" s="102"/>
      <c r="KZ135" s="102"/>
      <c r="LA135" s="102"/>
      <c r="LB135" s="102"/>
      <c r="LC135" s="102"/>
      <c r="LD135" s="102"/>
      <c r="LE135" s="102"/>
      <c r="LF135" s="102"/>
      <c r="LG135" s="102"/>
      <c r="LH135" s="102"/>
      <c r="LI135" s="102"/>
      <c r="LJ135" s="102"/>
      <c r="LK135" s="102"/>
      <c r="LL135" s="102"/>
      <c r="LM135" s="102"/>
      <c r="LN135" s="102"/>
      <c r="LO135" s="102"/>
      <c r="LP135" s="102"/>
      <c r="LQ135" s="102"/>
      <c r="LR135" s="102"/>
      <c r="LS135" s="102"/>
      <c r="LT135" s="102"/>
      <c r="LU135" s="102"/>
      <c r="LV135" s="102"/>
      <c r="LW135" s="102"/>
      <c r="LX135" s="102"/>
      <c r="LY135" s="102"/>
    </row>
    <row r="136" ht="15" customHeight="1">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2"/>
      <c r="DV136" s="102"/>
      <c r="DW136" s="102"/>
      <c r="DX136" s="102"/>
      <c r="DY136" s="102"/>
      <c r="DZ136" s="102"/>
      <c r="EA136" s="102"/>
      <c r="EB136" s="102"/>
      <c r="EC136" s="102"/>
      <c r="ED136" s="102"/>
      <c r="EE136" s="102"/>
      <c r="EF136" s="102"/>
      <c r="EG136" s="102"/>
      <c r="EH136" s="102"/>
      <c r="EI136" s="102"/>
      <c r="EJ136" s="102"/>
      <c r="EK136" s="102"/>
      <c r="EL136" s="102"/>
      <c r="EM136" s="102"/>
      <c r="EN136" s="102"/>
      <c r="EO136" s="102"/>
      <c r="EP136" s="102"/>
      <c r="EQ136" s="102"/>
      <c r="ER136" s="102"/>
      <c r="ES136" s="102"/>
      <c r="ET136" s="102"/>
      <c r="EU136" s="102"/>
      <c r="EV136" s="102"/>
      <c r="EW136" s="102"/>
      <c r="EX136" s="102"/>
      <c r="EY136" s="102"/>
      <c r="EZ136" s="102"/>
      <c r="FA136" s="102"/>
      <c r="FB136" s="102"/>
      <c r="FC136" s="102"/>
      <c r="FD136" s="102"/>
      <c r="FE136" s="102"/>
      <c r="FF136" s="102"/>
      <c r="FG136" s="102"/>
      <c r="FH136" s="102"/>
      <c r="FI136" s="102"/>
      <c r="FJ136" s="102"/>
      <c r="FK136" s="102"/>
      <c r="FL136" s="102"/>
      <c r="FM136" s="102"/>
      <c r="FN136" s="102"/>
      <c r="FO136" s="102"/>
      <c r="FP136" s="102"/>
      <c r="FQ136" s="102"/>
      <c r="FR136" s="102"/>
      <c r="FS136" s="102"/>
      <c r="FT136" s="102"/>
      <c r="FU136" s="102"/>
      <c r="FV136" s="102"/>
      <c r="FW136" s="102"/>
      <c r="FX136" s="102"/>
      <c r="FY136" s="102"/>
      <c r="FZ136" s="102"/>
      <c r="GA136" s="102"/>
      <c r="GB136" s="102"/>
      <c r="GC136" s="102"/>
      <c r="GD136" s="102"/>
      <c r="GE136" s="102"/>
      <c r="GF136" s="102"/>
      <c r="GG136" s="102"/>
      <c r="GH136" s="102"/>
      <c r="GI136" s="102"/>
      <c r="GJ136" s="102"/>
      <c r="GK136" s="102"/>
      <c r="GL136" s="102"/>
      <c r="GM136" s="102"/>
      <c r="GN136" s="102"/>
      <c r="GO136" s="102"/>
      <c r="GP136" s="102"/>
      <c r="GQ136" s="102"/>
      <c r="GR136" s="102"/>
      <c r="GS136" s="102"/>
      <c r="GT136" s="102"/>
      <c r="GU136" s="102"/>
      <c r="GV136" s="102"/>
      <c r="GW136" s="102"/>
      <c r="GX136" s="102"/>
      <c r="GY136" s="102"/>
      <c r="GZ136" s="102"/>
      <c r="HA136" s="102"/>
      <c r="HB136" s="102"/>
      <c r="HC136" s="102"/>
      <c r="HD136" s="102"/>
      <c r="HE136" s="102"/>
      <c r="HF136" s="102"/>
      <c r="HG136" s="102"/>
      <c r="HH136" s="102"/>
      <c r="HI136" s="102"/>
      <c r="HJ136" s="102"/>
      <c r="HK136" s="102"/>
      <c r="HL136" s="102"/>
      <c r="HM136" s="102"/>
      <c r="HN136" s="102"/>
      <c r="HO136" s="102"/>
      <c r="HP136" s="102"/>
      <c r="HQ136" s="102"/>
      <c r="HR136" s="102"/>
      <c r="HS136" s="102"/>
      <c r="HT136" s="102"/>
      <c r="HU136" s="102"/>
      <c r="HV136" s="102"/>
      <c r="HW136" s="102"/>
      <c r="HX136" s="102"/>
      <c r="HY136" s="102"/>
      <c r="HZ136" s="102"/>
      <c r="IA136" s="102"/>
      <c r="IB136" s="102"/>
      <c r="IC136" s="102"/>
      <c r="ID136" s="102"/>
      <c r="IE136" s="102"/>
      <c r="IF136" s="102"/>
      <c r="IG136" s="102"/>
      <c r="IH136" s="102"/>
      <c r="II136" s="102"/>
      <c r="IJ136" s="102"/>
      <c r="IK136" s="102"/>
      <c r="IL136" s="102"/>
      <c r="IM136" s="102"/>
      <c r="IN136" s="102"/>
      <c r="IO136" s="102"/>
      <c r="IP136" s="102"/>
      <c r="IQ136" s="102"/>
      <c r="IR136" s="102"/>
      <c r="IS136" s="102"/>
      <c r="IT136" s="102"/>
      <c r="IU136" s="102"/>
      <c r="IV136" s="102"/>
      <c r="IW136" s="102"/>
      <c r="IX136" s="102"/>
      <c r="IY136" s="102"/>
      <c r="IZ136" s="102"/>
      <c r="JA136" s="102"/>
      <c r="JB136" s="102"/>
      <c r="JC136" s="102"/>
      <c r="JD136" s="102"/>
      <c r="JE136" s="102"/>
      <c r="JF136" s="102"/>
      <c r="JG136" s="102"/>
      <c r="JH136" s="102"/>
      <c r="JI136" s="102"/>
      <c r="JJ136" s="102"/>
      <c r="JK136" s="102"/>
      <c r="JL136" s="102"/>
      <c r="JM136" s="102"/>
      <c r="JN136" s="102"/>
      <c r="JO136" s="102"/>
      <c r="JP136" s="102"/>
      <c r="JQ136" s="102"/>
      <c r="JR136" s="102"/>
      <c r="JS136" s="102"/>
      <c r="JT136" s="102"/>
      <c r="JU136" s="102"/>
      <c r="JV136" s="102"/>
      <c r="JW136" s="102"/>
      <c r="JX136" s="102"/>
      <c r="JY136" s="102"/>
      <c r="JZ136" s="102"/>
      <c r="KA136" s="102"/>
      <c r="KB136" s="102"/>
      <c r="KC136" s="102"/>
      <c r="KD136" s="102"/>
      <c r="KE136" s="102"/>
      <c r="KF136" s="102"/>
      <c r="KG136" s="102"/>
      <c r="KH136" s="102"/>
      <c r="KI136" s="102"/>
      <c r="KJ136" s="102"/>
      <c r="KK136" s="102"/>
      <c r="KL136" s="102"/>
      <c r="KM136" s="102"/>
      <c r="KN136" s="102"/>
      <c r="KO136" s="102"/>
      <c r="KP136" s="102"/>
      <c r="KQ136" s="102"/>
      <c r="KR136" s="102"/>
      <c r="KS136" s="102"/>
      <c r="KT136" s="102"/>
      <c r="KU136" s="102"/>
      <c r="KV136" s="102"/>
      <c r="KW136" s="102"/>
      <c r="KX136" s="102"/>
      <c r="KY136" s="102"/>
      <c r="KZ136" s="102"/>
      <c r="LA136" s="102"/>
      <c r="LB136" s="102"/>
      <c r="LC136" s="102"/>
      <c r="LD136" s="102"/>
      <c r="LE136" s="102"/>
      <c r="LF136" s="102"/>
      <c r="LG136" s="102"/>
      <c r="LH136" s="102"/>
      <c r="LI136" s="102"/>
      <c r="LJ136" s="102"/>
      <c r="LK136" s="102"/>
      <c r="LL136" s="102"/>
      <c r="LM136" s="102"/>
      <c r="LN136" s="102"/>
      <c r="LO136" s="102"/>
      <c r="LP136" s="102"/>
      <c r="LQ136" s="102"/>
      <c r="LR136" s="102"/>
      <c r="LS136" s="102"/>
      <c r="LT136" s="102"/>
      <c r="LU136" s="102"/>
      <c r="LV136" s="102"/>
      <c r="LW136" s="102"/>
      <c r="LX136" s="102"/>
      <c r="LY136" s="102"/>
    </row>
    <row r="137" ht="15" customHeight="1">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c r="EO137" s="102"/>
      <c r="EP137" s="102"/>
      <c r="EQ137" s="102"/>
      <c r="ER137" s="102"/>
      <c r="ES137" s="102"/>
      <c r="ET137" s="102"/>
      <c r="EU137" s="102"/>
      <c r="EV137" s="102"/>
      <c r="EW137" s="102"/>
      <c r="EX137" s="102"/>
      <c r="EY137" s="102"/>
      <c r="EZ137" s="102"/>
      <c r="FA137" s="102"/>
      <c r="FB137" s="102"/>
      <c r="FC137" s="102"/>
      <c r="FD137" s="102"/>
      <c r="FE137" s="102"/>
      <c r="FF137" s="102"/>
      <c r="FG137" s="102"/>
      <c r="FH137" s="102"/>
      <c r="FI137" s="102"/>
      <c r="FJ137" s="102"/>
      <c r="FK137" s="102"/>
      <c r="FL137" s="102"/>
      <c r="FM137" s="102"/>
      <c r="FN137" s="102"/>
      <c r="FO137" s="102"/>
      <c r="FP137" s="102"/>
      <c r="FQ137" s="102"/>
      <c r="FR137" s="102"/>
      <c r="FS137" s="102"/>
      <c r="FT137" s="102"/>
      <c r="FU137" s="102"/>
      <c r="FV137" s="102"/>
      <c r="FW137" s="102"/>
      <c r="FX137" s="102"/>
      <c r="FY137" s="102"/>
      <c r="FZ137" s="102"/>
      <c r="GA137" s="102"/>
      <c r="GB137" s="102"/>
      <c r="GC137" s="102"/>
      <c r="GD137" s="102"/>
      <c r="GE137" s="102"/>
      <c r="GF137" s="102"/>
      <c r="GG137" s="102"/>
      <c r="GH137" s="102"/>
      <c r="GI137" s="102"/>
      <c r="GJ137" s="102"/>
      <c r="GK137" s="102"/>
      <c r="GL137" s="102"/>
      <c r="GM137" s="102"/>
      <c r="GN137" s="102"/>
      <c r="GO137" s="102"/>
      <c r="GP137" s="102"/>
      <c r="GQ137" s="102"/>
      <c r="GR137" s="102"/>
      <c r="GS137" s="102"/>
      <c r="GT137" s="102"/>
      <c r="GU137" s="102"/>
      <c r="GV137" s="102"/>
      <c r="GW137" s="102"/>
      <c r="GX137" s="102"/>
      <c r="GY137" s="102"/>
      <c r="GZ137" s="102"/>
      <c r="HA137" s="102"/>
      <c r="HB137" s="102"/>
      <c r="HC137" s="102"/>
      <c r="HD137" s="102"/>
      <c r="HE137" s="102"/>
      <c r="HF137" s="102"/>
      <c r="HG137" s="102"/>
      <c r="HH137" s="102"/>
      <c r="HI137" s="102"/>
      <c r="HJ137" s="102"/>
      <c r="HK137" s="102"/>
      <c r="HL137" s="102"/>
      <c r="HM137" s="102"/>
      <c r="HN137" s="102"/>
      <c r="HO137" s="102"/>
      <c r="HP137" s="102"/>
      <c r="HQ137" s="102"/>
      <c r="HR137" s="102"/>
      <c r="HS137" s="102"/>
      <c r="HT137" s="102"/>
      <c r="HU137" s="102"/>
      <c r="HV137" s="102"/>
      <c r="HW137" s="102"/>
      <c r="HX137" s="102"/>
      <c r="HY137" s="102"/>
      <c r="HZ137" s="102"/>
      <c r="IA137" s="102"/>
      <c r="IB137" s="102"/>
      <c r="IC137" s="102"/>
      <c r="ID137" s="102"/>
      <c r="IE137" s="102"/>
      <c r="IF137" s="102"/>
      <c r="IG137" s="102"/>
      <c r="IH137" s="102"/>
      <c r="II137" s="102"/>
      <c r="IJ137" s="102"/>
      <c r="IK137" s="102"/>
      <c r="IL137" s="102"/>
      <c r="IM137" s="102"/>
      <c r="IN137" s="102"/>
      <c r="IO137" s="102"/>
      <c r="IP137" s="102"/>
      <c r="IQ137" s="102"/>
      <c r="IR137" s="102"/>
      <c r="IS137" s="102"/>
      <c r="IT137" s="102"/>
      <c r="IU137" s="102"/>
      <c r="IV137" s="102"/>
      <c r="IW137" s="102"/>
      <c r="IX137" s="102"/>
      <c r="IY137" s="102"/>
      <c r="IZ137" s="102"/>
      <c r="JA137" s="102"/>
      <c r="JB137" s="102"/>
      <c r="JC137" s="102"/>
      <c r="JD137" s="102"/>
      <c r="JE137" s="102"/>
      <c r="JF137" s="102"/>
      <c r="JG137" s="102"/>
      <c r="JH137" s="102"/>
      <c r="JI137" s="102"/>
      <c r="JJ137" s="102"/>
      <c r="JK137" s="102"/>
      <c r="JL137" s="102"/>
      <c r="JM137" s="102"/>
      <c r="JN137" s="102"/>
      <c r="JO137" s="102"/>
      <c r="JP137" s="102"/>
      <c r="JQ137" s="102"/>
      <c r="JR137" s="102"/>
      <c r="JS137" s="102"/>
      <c r="JT137" s="102"/>
      <c r="JU137" s="102"/>
      <c r="JV137" s="102"/>
      <c r="JW137" s="102"/>
      <c r="JX137" s="102"/>
      <c r="JY137" s="102"/>
      <c r="JZ137" s="102"/>
      <c r="KA137" s="102"/>
      <c r="KB137" s="102"/>
      <c r="KC137" s="102"/>
      <c r="KD137" s="102"/>
      <c r="KE137" s="102"/>
      <c r="KF137" s="102"/>
      <c r="KG137" s="102"/>
      <c r="KH137" s="102"/>
      <c r="KI137" s="102"/>
      <c r="KJ137" s="102"/>
      <c r="KK137" s="102"/>
      <c r="KL137" s="102"/>
      <c r="KM137" s="102"/>
      <c r="KN137" s="102"/>
      <c r="KO137" s="102"/>
      <c r="KP137" s="102"/>
      <c r="KQ137" s="102"/>
      <c r="KR137" s="102"/>
      <c r="KS137" s="102"/>
      <c r="KT137" s="102"/>
      <c r="KU137" s="102"/>
      <c r="KV137" s="102"/>
      <c r="KW137" s="102"/>
      <c r="KX137" s="102"/>
      <c r="KY137" s="102"/>
      <c r="KZ137" s="102"/>
      <c r="LA137" s="102"/>
      <c r="LB137" s="102"/>
      <c r="LC137" s="102"/>
      <c r="LD137" s="102"/>
      <c r="LE137" s="102"/>
      <c r="LF137" s="102"/>
      <c r="LG137" s="102"/>
      <c r="LH137" s="102"/>
      <c r="LI137" s="102"/>
      <c r="LJ137" s="102"/>
      <c r="LK137" s="102"/>
      <c r="LL137" s="102"/>
      <c r="LM137" s="102"/>
      <c r="LN137" s="102"/>
      <c r="LO137" s="102"/>
      <c r="LP137" s="102"/>
      <c r="LQ137" s="102"/>
      <c r="LR137" s="102"/>
      <c r="LS137" s="102"/>
      <c r="LT137" s="102"/>
      <c r="LU137" s="102"/>
      <c r="LV137" s="102"/>
      <c r="LW137" s="102"/>
      <c r="LX137" s="102"/>
      <c r="LY137" s="102"/>
    </row>
    <row r="138" ht="15" customHeight="1">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c r="EO138" s="102"/>
      <c r="EP138" s="102"/>
      <c r="EQ138" s="102"/>
      <c r="ER138" s="102"/>
      <c r="ES138" s="102"/>
      <c r="ET138" s="102"/>
      <c r="EU138" s="102"/>
      <c r="EV138" s="102"/>
      <c r="EW138" s="102"/>
      <c r="EX138" s="102"/>
      <c r="EY138" s="102"/>
      <c r="EZ138" s="102"/>
      <c r="FA138" s="102"/>
      <c r="FB138" s="102"/>
      <c r="FC138" s="102"/>
      <c r="FD138" s="102"/>
      <c r="FE138" s="102"/>
      <c r="FF138" s="102"/>
      <c r="FG138" s="102"/>
      <c r="FH138" s="102"/>
      <c r="FI138" s="102"/>
      <c r="FJ138" s="102"/>
      <c r="FK138" s="102"/>
      <c r="FL138" s="102"/>
      <c r="FM138" s="102"/>
      <c r="FN138" s="102"/>
      <c r="FO138" s="102"/>
      <c r="FP138" s="102"/>
      <c r="FQ138" s="102"/>
      <c r="FR138" s="102"/>
      <c r="FS138" s="102"/>
      <c r="FT138" s="102"/>
      <c r="FU138" s="102"/>
      <c r="FV138" s="102"/>
      <c r="FW138" s="102"/>
      <c r="FX138" s="102"/>
      <c r="FY138" s="102"/>
      <c r="FZ138" s="102"/>
      <c r="GA138" s="102"/>
      <c r="GB138" s="102"/>
      <c r="GC138" s="102"/>
      <c r="GD138" s="102"/>
      <c r="GE138" s="102"/>
      <c r="GF138" s="102"/>
      <c r="GG138" s="102"/>
      <c r="GH138" s="102"/>
      <c r="GI138" s="102"/>
      <c r="GJ138" s="102"/>
      <c r="GK138" s="102"/>
      <c r="GL138" s="102"/>
      <c r="GM138" s="102"/>
      <c r="GN138" s="102"/>
      <c r="GO138" s="102"/>
      <c r="GP138" s="102"/>
      <c r="GQ138" s="102"/>
      <c r="GR138" s="102"/>
      <c r="GS138" s="102"/>
      <c r="GT138" s="102"/>
      <c r="GU138" s="102"/>
      <c r="GV138" s="102"/>
      <c r="GW138" s="102"/>
      <c r="GX138" s="102"/>
      <c r="GY138" s="102"/>
      <c r="GZ138" s="102"/>
      <c r="HA138" s="102"/>
      <c r="HB138" s="102"/>
      <c r="HC138" s="102"/>
      <c r="HD138" s="102"/>
      <c r="HE138" s="102"/>
      <c r="HF138" s="102"/>
      <c r="HG138" s="102"/>
      <c r="HH138" s="102"/>
      <c r="HI138" s="102"/>
      <c r="HJ138" s="102"/>
      <c r="HK138" s="102"/>
      <c r="HL138" s="102"/>
      <c r="HM138" s="102"/>
      <c r="HN138" s="102"/>
      <c r="HO138" s="102"/>
      <c r="HP138" s="102"/>
      <c r="HQ138" s="102"/>
      <c r="HR138" s="102"/>
      <c r="HS138" s="102"/>
      <c r="HT138" s="102"/>
      <c r="HU138" s="102"/>
      <c r="HV138" s="102"/>
      <c r="HW138" s="102"/>
      <c r="HX138" s="102"/>
      <c r="HY138" s="102"/>
      <c r="HZ138" s="102"/>
      <c r="IA138" s="102"/>
      <c r="IB138" s="102"/>
      <c r="IC138" s="102"/>
      <c r="ID138" s="102"/>
      <c r="IE138" s="102"/>
      <c r="IF138" s="102"/>
      <c r="IG138" s="102"/>
      <c r="IH138" s="102"/>
      <c r="II138" s="102"/>
      <c r="IJ138" s="102"/>
      <c r="IK138" s="102"/>
      <c r="IL138" s="102"/>
      <c r="IM138" s="102"/>
      <c r="IN138" s="102"/>
      <c r="IO138" s="102"/>
      <c r="IP138" s="102"/>
      <c r="IQ138" s="102"/>
      <c r="IR138" s="102"/>
      <c r="IS138" s="102"/>
      <c r="IT138" s="102"/>
      <c r="IU138" s="102"/>
      <c r="IV138" s="102"/>
      <c r="IW138" s="102"/>
      <c r="IX138" s="102"/>
      <c r="IY138" s="102"/>
      <c r="IZ138" s="102"/>
      <c r="JA138" s="102"/>
      <c r="JB138" s="102"/>
      <c r="JC138" s="102"/>
      <c r="JD138" s="102"/>
      <c r="JE138" s="102"/>
      <c r="JF138" s="102"/>
      <c r="JG138" s="102"/>
      <c r="JH138" s="102"/>
      <c r="JI138" s="102"/>
      <c r="JJ138" s="102"/>
      <c r="JK138" s="102"/>
      <c r="JL138" s="102"/>
      <c r="JM138" s="102"/>
      <c r="JN138" s="102"/>
      <c r="JO138" s="102"/>
      <c r="JP138" s="102"/>
      <c r="JQ138" s="102"/>
      <c r="JR138" s="102"/>
      <c r="JS138" s="102"/>
      <c r="JT138" s="102"/>
      <c r="JU138" s="102"/>
      <c r="JV138" s="102"/>
      <c r="JW138" s="102"/>
      <c r="JX138" s="102"/>
      <c r="JY138" s="102"/>
      <c r="JZ138" s="102"/>
      <c r="KA138" s="102"/>
      <c r="KB138" s="102"/>
      <c r="KC138" s="102"/>
      <c r="KD138" s="102"/>
      <c r="KE138" s="102"/>
      <c r="KF138" s="102"/>
      <c r="KG138" s="102"/>
      <c r="KH138" s="102"/>
      <c r="KI138" s="102"/>
      <c r="KJ138" s="102"/>
      <c r="KK138" s="102"/>
      <c r="KL138" s="102"/>
      <c r="KM138" s="102"/>
      <c r="KN138" s="102"/>
      <c r="KO138" s="102"/>
      <c r="KP138" s="102"/>
      <c r="KQ138" s="102"/>
      <c r="KR138" s="102"/>
      <c r="KS138" s="102"/>
      <c r="KT138" s="102"/>
      <c r="KU138" s="102"/>
      <c r="KV138" s="102"/>
      <c r="KW138" s="102"/>
      <c r="KX138" s="102"/>
      <c r="KY138" s="102"/>
      <c r="KZ138" s="102"/>
      <c r="LA138" s="102"/>
      <c r="LB138" s="102"/>
      <c r="LC138" s="102"/>
      <c r="LD138" s="102"/>
      <c r="LE138" s="102"/>
      <c r="LF138" s="102"/>
      <c r="LG138" s="102"/>
      <c r="LH138" s="102"/>
      <c r="LI138" s="102"/>
      <c r="LJ138" s="102"/>
      <c r="LK138" s="102"/>
      <c r="LL138" s="102"/>
      <c r="LM138" s="102"/>
      <c r="LN138" s="102"/>
      <c r="LO138" s="102"/>
      <c r="LP138" s="102"/>
      <c r="LQ138" s="102"/>
      <c r="LR138" s="102"/>
      <c r="LS138" s="102"/>
      <c r="LT138" s="102"/>
      <c r="LU138" s="102"/>
      <c r="LV138" s="102"/>
      <c r="LW138" s="102"/>
      <c r="LX138" s="102"/>
      <c r="LY138" s="102"/>
    </row>
    <row r="139" ht="15" customHeight="1">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c r="EO139" s="102"/>
      <c r="EP139" s="102"/>
      <c r="EQ139" s="102"/>
      <c r="ER139" s="102"/>
      <c r="ES139" s="102"/>
      <c r="ET139" s="102"/>
      <c r="EU139" s="102"/>
      <c r="EV139" s="102"/>
      <c r="EW139" s="102"/>
      <c r="EX139" s="102"/>
      <c r="EY139" s="102"/>
      <c r="EZ139" s="102"/>
      <c r="FA139" s="102"/>
      <c r="FB139" s="102"/>
      <c r="FC139" s="102"/>
      <c r="FD139" s="102"/>
      <c r="FE139" s="102"/>
      <c r="FF139" s="102"/>
      <c r="FG139" s="102"/>
      <c r="FH139" s="102"/>
      <c r="FI139" s="102"/>
      <c r="FJ139" s="102"/>
      <c r="FK139" s="102"/>
      <c r="FL139" s="102"/>
      <c r="FM139" s="102"/>
      <c r="FN139" s="102"/>
      <c r="FO139" s="102"/>
      <c r="FP139" s="102"/>
      <c r="FQ139" s="102"/>
      <c r="FR139" s="102"/>
      <c r="FS139" s="102"/>
      <c r="FT139" s="102"/>
      <c r="FU139" s="102"/>
      <c r="FV139" s="102"/>
      <c r="FW139" s="102"/>
      <c r="FX139" s="102"/>
      <c r="FY139" s="102"/>
      <c r="FZ139" s="102"/>
      <c r="GA139" s="102"/>
      <c r="GB139" s="102"/>
      <c r="GC139" s="102"/>
      <c r="GD139" s="102"/>
      <c r="GE139" s="102"/>
      <c r="GF139" s="102"/>
      <c r="GG139" s="102"/>
      <c r="GH139" s="102"/>
      <c r="GI139" s="102"/>
      <c r="GJ139" s="102"/>
      <c r="GK139" s="102"/>
      <c r="GL139" s="102"/>
      <c r="GM139" s="102"/>
      <c r="GN139" s="102"/>
      <c r="GO139" s="102"/>
      <c r="GP139" s="102"/>
      <c r="GQ139" s="102"/>
      <c r="GR139" s="102"/>
      <c r="GS139" s="102"/>
      <c r="GT139" s="102"/>
      <c r="GU139" s="102"/>
      <c r="GV139" s="102"/>
      <c r="GW139" s="102"/>
      <c r="GX139" s="102"/>
      <c r="GY139" s="102"/>
      <c r="GZ139" s="102"/>
      <c r="HA139" s="102"/>
      <c r="HB139" s="102"/>
      <c r="HC139" s="102"/>
      <c r="HD139" s="102"/>
      <c r="HE139" s="102"/>
      <c r="HF139" s="102"/>
      <c r="HG139" s="102"/>
      <c r="HH139" s="102"/>
      <c r="HI139" s="102"/>
      <c r="HJ139" s="102"/>
      <c r="HK139" s="102"/>
      <c r="HL139" s="102"/>
      <c r="HM139" s="102"/>
      <c r="HN139" s="102"/>
      <c r="HO139" s="102"/>
      <c r="HP139" s="102"/>
      <c r="HQ139" s="102"/>
      <c r="HR139" s="102"/>
      <c r="HS139" s="102"/>
      <c r="HT139" s="102"/>
      <c r="HU139" s="102"/>
      <c r="HV139" s="102"/>
      <c r="HW139" s="102"/>
      <c r="HX139" s="102"/>
      <c r="HY139" s="102"/>
      <c r="HZ139" s="102"/>
      <c r="IA139" s="102"/>
      <c r="IB139" s="102"/>
      <c r="IC139" s="102"/>
      <c r="ID139" s="102"/>
      <c r="IE139" s="102"/>
      <c r="IF139" s="102"/>
      <c r="IG139" s="102"/>
      <c r="IH139" s="102"/>
      <c r="II139" s="102"/>
      <c r="IJ139" s="102"/>
      <c r="IK139" s="102"/>
      <c r="IL139" s="102"/>
      <c r="IM139" s="102"/>
      <c r="IN139" s="102"/>
      <c r="IO139" s="102"/>
      <c r="IP139" s="102"/>
      <c r="IQ139" s="102"/>
      <c r="IR139" s="102"/>
      <c r="IS139" s="102"/>
      <c r="IT139" s="102"/>
      <c r="IU139" s="102"/>
      <c r="IV139" s="102"/>
      <c r="IW139" s="102"/>
      <c r="IX139" s="102"/>
      <c r="IY139" s="102"/>
      <c r="IZ139" s="102"/>
      <c r="JA139" s="102"/>
      <c r="JB139" s="102"/>
      <c r="JC139" s="102"/>
      <c r="JD139" s="102"/>
      <c r="JE139" s="102"/>
      <c r="JF139" s="102"/>
      <c r="JG139" s="102"/>
      <c r="JH139" s="102"/>
      <c r="JI139" s="102"/>
      <c r="JJ139" s="102"/>
      <c r="JK139" s="102"/>
      <c r="JL139" s="102"/>
      <c r="JM139" s="102"/>
      <c r="JN139" s="102"/>
      <c r="JO139" s="102"/>
      <c r="JP139" s="102"/>
      <c r="JQ139" s="102"/>
      <c r="JR139" s="102"/>
      <c r="JS139" s="102"/>
      <c r="JT139" s="102"/>
      <c r="JU139" s="102"/>
      <c r="JV139" s="102"/>
      <c r="JW139" s="102"/>
      <c r="JX139" s="102"/>
      <c r="JY139" s="102"/>
      <c r="JZ139" s="102"/>
      <c r="KA139" s="102"/>
      <c r="KB139" s="102"/>
      <c r="KC139" s="102"/>
      <c r="KD139" s="102"/>
      <c r="KE139" s="102"/>
      <c r="KF139" s="102"/>
      <c r="KG139" s="102"/>
      <c r="KH139" s="102"/>
      <c r="KI139" s="102"/>
      <c r="KJ139" s="102"/>
      <c r="KK139" s="102"/>
      <c r="KL139" s="102"/>
      <c r="KM139" s="102"/>
      <c r="KN139" s="102"/>
      <c r="KO139" s="102"/>
      <c r="KP139" s="102"/>
      <c r="KQ139" s="102"/>
      <c r="KR139" s="102"/>
      <c r="KS139" s="102"/>
      <c r="KT139" s="102"/>
      <c r="KU139" s="102"/>
      <c r="KV139" s="102"/>
      <c r="KW139" s="102"/>
      <c r="KX139" s="102"/>
      <c r="KY139" s="102"/>
      <c r="KZ139" s="102"/>
      <c r="LA139" s="102"/>
      <c r="LB139" s="102"/>
      <c r="LC139" s="102"/>
      <c r="LD139" s="102"/>
      <c r="LE139" s="102"/>
      <c r="LF139" s="102"/>
      <c r="LG139" s="102"/>
      <c r="LH139" s="102"/>
      <c r="LI139" s="102"/>
      <c r="LJ139" s="102"/>
      <c r="LK139" s="102"/>
      <c r="LL139" s="102"/>
      <c r="LM139" s="102"/>
      <c r="LN139" s="102"/>
      <c r="LO139" s="102"/>
      <c r="LP139" s="102"/>
      <c r="LQ139" s="102"/>
      <c r="LR139" s="102"/>
      <c r="LS139" s="102"/>
      <c r="LT139" s="102"/>
      <c r="LU139" s="102"/>
      <c r="LV139" s="102"/>
      <c r="LW139" s="102"/>
      <c r="LX139" s="102"/>
      <c r="LY139" s="102"/>
    </row>
    <row r="140" ht="15" customHeight="1">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c r="EO140" s="102"/>
      <c r="EP140" s="102"/>
      <c r="EQ140" s="102"/>
      <c r="ER140" s="102"/>
      <c r="ES140" s="102"/>
      <c r="ET140" s="102"/>
      <c r="EU140" s="102"/>
      <c r="EV140" s="102"/>
      <c r="EW140" s="102"/>
      <c r="EX140" s="102"/>
      <c r="EY140" s="102"/>
      <c r="EZ140" s="102"/>
      <c r="FA140" s="102"/>
      <c r="FB140" s="102"/>
      <c r="FC140" s="102"/>
      <c r="FD140" s="102"/>
      <c r="FE140" s="102"/>
      <c r="FF140" s="102"/>
      <c r="FG140" s="102"/>
      <c r="FH140" s="102"/>
      <c r="FI140" s="102"/>
      <c r="FJ140" s="102"/>
      <c r="FK140" s="102"/>
      <c r="FL140" s="102"/>
      <c r="FM140" s="102"/>
      <c r="FN140" s="102"/>
      <c r="FO140" s="102"/>
      <c r="FP140" s="102"/>
      <c r="FQ140" s="102"/>
      <c r="FR140" s="102"/>
      <c r="FS140" s="102"/>
      <c r="FT140" s="102"/>
      <c r="FU140" s="102"/>
      <c r="FV140" s="102"/>
      <c r="FW140" s="102"/>
      <c r="FX140" s="102"/>
      <c r="FY140" s="102"/>
      <c r="FZ140" s="102"/>
      <c r="GA140" s="102"/>
      <c r="GB140" s="102"/>
      <c r="GC140" s="102"/>
      <c r="GD140" s="102"/>
      <c r="GE140" s="102"/>
      <c r="GF140" s="102"/>
      <c r="GG140" s="102"/>
      <c r="GH140" s="102"/>
      <c r="GI140" s="102"/>
      <c r="GJ140" s="102"/>
      <c r="GK140" s="102"/>
      <c r="GL140" s="102"/>
      <c r="GM140" s="102"/>
      <c r="GN140" s="102"/>
      <c r="GO140" s="102"/>
      <c r="GP140" s="102"/>
      <c r="GQ140" s="102"/>
      <c r="GR140" s="102"/>
      <c r="GS140" s="102"/>
      <c r="GT140" s="102"/>
      <c r="GU140" s="102"/>
      <c r="GV140" s="102"/>
      <c r="GW140" s="102"/>
      <c r="GX140" s="102"/>
      <c r="GY140" s="102"/>
      <c r="GZ140" s="102"/>
      <c r="HA140" s="102"/>
      <c r="HB140" s="102"/>
      <c r="HC140" s="102"/>
      <c r="HD140" s="102"/>
      <c r="HE140" s="102"/>
      <c r="HF140" s="102"/>
      <c r="HG140" s="102"/>
      <c r="HH140" s="102"/>
      <c r="HI140" s="102"/>
      <c r="HJ140" s="102"/>
      <c r="HK140" s="102"/>
      <c r="HL140" s="102"/>
      <c r="HM140" s="102"/>
      <c r="HN140" s="102"/>
      <c r="HO140" s="102"/>
      <c r="HP140" s="102"/>
      <c r="HQ140" s="102"/>
      <c r="HR140" s="102"/>
      <c r="HS140" s="102"/>
      <c r="HT140" s="102"/>
      <c r="HU140" s="102"/>
      <c r="HV140" s="102"/>
      <c r="HW140" s="102"/>
      <c r="HX140" s="102"/>
      <c r="HY140" s="102"/>
      <c r="HZ140" s="102"/>
      <c r="IA140" s="102"/>
      <c r="IB140" s="102"/>
      <c r="IC140" s="102"/>
      <c r="ID140" s="102"/>
      <c r="IE140" s="102"/>
      <c r="IF140" s="102"/>
      <c r="IG140" s="102"/>
      <c r="IH140" s="102"/>
      <c r="II140" s="102"/>
      <c r="IJ140" s="102"/>
      <c r="IK140" s="102"/>
      <c r="IL140" s="102"/>
      <c r="IM140" s="102"/>
      <c r="IN140" s="102"/>
      <c r="IO140" s="102"/>
      <c r="IP140" s="102"/>
      <c r="IQ140" s="102"/>
      <c r="IR140" s="102"/>
      <c r="IS140" s="102"/>
      <c r="IT140" s="102"/>
      <c r="IU140" s="102"/>
      <c r="IV140" s="102"/>
      <c r="IW140" s="102"/>
      <c r="IX140" s="102"/>
      <c r="IY140" s="102"/>
      <c r="IZ140" s="102"/>
      <c r="JA140" s="102"/>
      <c r="JB140" s="102"/>
      <c r="JC140" s="102"/>
      <c r="JD140" s="102"/>
      <c r="JE140" s="102"/>
      <c r="JF140" s="102"/>
      <c r="JG140" s="102"/>
      <c r="JH140" s="102"/>
      <c r="JI140" s="102"/>
      <c r="JJ140" s="102"/>
      <c r="JK140" s="102"/>
      <c r="JL140" s="102"/>
      <c r="JM140" s="102"/>
      <c r="JN140" s="102"/>
      <c r="JO140" s="102"/>
      <c r="JP140" s="102"/>
      <c r="JQ140" s="102"/>
      <c r="JR140" s="102"/>
      <c r="JS140" s="102"/>
      <c r="JT140" s="102"/>
      <c r="JU140" s="102"/>
      <c r="JV140" s="102"/>
      <c r="JW140" s="102"/>
      <c r="JX140" s="102"/>
      <c r="JY140" s="102"/>
      <c r="JZ140" s="102"/>
      <c r="KA140" s="102"/>
      <c r="KB140" s="102"/>
      <c r="KC140" s="102"/>
      <c r="KD140" s="102"/>
      <c r="KE140" s="102"/>
      <c r="KF140" s="102"/>
      <c r="KG140" s="102"/>
      <c r="KH140" s="102"/>
      <c r="KI140" s="102"/>
      <c r="KJ140" s="102"/>
      <c r="KK140" s="102"/>
      <c r="KL140" s="102"/>
      <c r="KM140" s="102"/>
      <c r="KN140" s="102"/>
      <c r="KO140" s="102"/>
      <c r="KP140" s="102"/>
      <c r="KQ140" s="102"/>
      <c r="KR140" s="102"/>
      <c r="KS140" s="102"/>
      <c r="KT140" s="102"/>
      <c r="KU140" s="102"/>
      <c r="KV140" s="102"/>
      <c r="KW140" s="102"/>
      <c r="KX140" s="102"/>
      <c r="KY140" s="102"/>
      <c r="KZ140" s="102"/>
      <c r="LA140" s="102"/>
      <c r="LB140" s="102"/>
      <c r="LC140" s="102"/>
      <c r="LD140" s="102"/>
      <c r="LE140" s="102"/>
      <c r="LF140" s="102"/>
      <c r="LG140" s="102"/>
      <c r="LH140" s="102"/>
      <c r="LI140" s="102"/>
      <c r="LJ140" s="102"/>
      <c r="LK140" s="102"/>
      <c r="LL140" s="102"/>
      <c r="LM140" s="102"/>
      <c r="LN140" s="102"/>
      <c r="LO140" s="102"/>
      <c r="LP140" s="102"/>
      <c r="LQ140" s="102"/>
      <c r="LR140" s="102"/>
      <c r="LS140" s="102"/>
      <c r="LT140" s="102"/>
      <c r="LU140" s="102"/>
      <c r="LV140" s="102"/>
      <c r="LW140" s="102"/>
      <c r="LX140" s="102"/>
      <c r="LY140" s="102"/>
    </row>
    <row r="141" ht="15" customHeight="1">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c r="EO141" s="102"/>
      <c r="EP141" s="102"/>
      <c r="EQ141" s="102"/>
      <c r="ER141" s="102"/>
      <c r="ES141" s="102"/>
      <c r="ET141" s="102"/>
      <c r="EU141" s="102"/>
      <c r="EV141" s="102"/>
      <c r="EW141" s="102"/>
      <c r="EX141" s="102"/>
      <c r="EY141" s="102"/>
      <c r="EZ141" s="102"/>
      <c r="FA141" s="102"/>
      <c r="FB141" s="102"/>
      <c r="FC141" s="102"/>
      <c r="FD141" s="102"/>
      <c r="FE141" s="102"/>
      <c r="FF141" s="102"/>
      <c r="FG141" s="102"/>
      <c r="FH141" s="102"/>
      <c r="FI141" s="102"/>
      <c r="FJ141" s="102"/>
      <c r="FK141" s="102"/>
      <c r="FL141" s="102"/>
      <c r="FM141" s="102"/>
      <c r="FN141" s="102"/>
      <c r="FO141" s="102"/>
      <c r="FP141" s="102"/>
      <c r="FQ141" s="102"/>
      <c r="FR141" s="102"/>
      <c r="FS141" s="102"/>
      <c r="FT141" s="102"/>
      <c r="FU141" s="102"/>
      <c r="FV141" s="102"/>
      <c r="FW141" s="102"/>
      <c r="FX141" s="102"/>
      <c r="FY141" s="102"/>
      <c r="FZ141" s="102"/>
      <c r="GA141" s="102"/>
      <c r="GB141" s="102"/>
      <c r="GC141" s="102"/>
      <c r="GD141" s="102"/>
      <c r="GE141" s="102"/>
      <c r="GF141" s="102"/>
      <c r="GG141" s="102"/>
      <c r="GH141" s="102"/>
      <c r="GI141" s="102"/>
      <c r="GJ141" s="102"/>
      <c r="GK141" s="102"/>
      <c r="GL141" s="102"/>
      <c r="GM141" s="102"/>
      <c r="GN141" s="102"/>
      <c r="GO141" s="102"/>
      <c r="GP141" s="102"/>
      <c r="GQ141" s="102"/>
      <c r="GR141" s="102"/>
      <c r="GS141" s="102"/>
      <c r="GT141" s="102"/>
      <c r="GU141" s="102"/>
      <c r="GV141" s="102"/>
      <c r="GW141" s="102"/>
      <c r="GX141" s="102"/>
      <c r="GY141" s="102"/>
      <c r="GZ141" s="102"/>
      <c r="HA141" s="102"/>
      <c r="HB141" s="102"/>
      <c r="HC141" s="102"/>
      <c r="HD141" s="102"/>
      <c r="HE141" s="102"/>
      <c r="HF141" s="102"/>
      <c r="HG141" s="102"/>
      <c r="HH141" s="102"/>
      <c r="HI141" s="102"/>
      <c r="HJ141" s="102"/>
      <c r="HK141" s="102"/>
      <c r="HL141" s="102"/>
      <c r="HM141" s="102"/>
      <c r="HN141" s="102"/>
      <c r="HO141" s="102"/>
      <c r="HP141" s="102"/>
      <c r="HQ141" s="102"/>
      <c r="HR141" s="102"/>
      <c r="HS141" s="102"/>
      <c r="HT141" s="102"/>
      <c r="HU141" s="102"/>
      <c r="HV141" s="102"/>
      <c r="HW141" s="102"/>
      <c r="HX141" s="102"/>
      <c r="HY141" s="102"/>
      <c r="HZ141" s="102"/>
      <c r="IA141" s="102"/>
      <c r="IB141" s="102"/>
      <c r="IC141" s="102"/>
      <c r="ID141" s="102"/>
      <c r="IE141" s="102"/>
      <c r="IF141" s="102"/>
      <c r="IG141" s="102"/>
      <c r="IH141" s="102"/>
      <c r="II141" s="102"/>
      <c r="IJ141" s="102"/>
      <c r="IK141" s="102"/>
      <c r="IL141" s="102"/>
      <c r="IM141" s="102"/>
      <c r="IN141" s="102"/>
      <c r="IO141" s="102"/>
      <c r="IP141" s="102"/>
      <c r="IQ141" s="102"/>
      <c r="IR141" s="102"/>
      <c r="IS141" s="102"/>
      <c r="IT141" s="102"/>
      <c r="IU141" s="102"/>
      <c r="IV141" s="102"/>
      <c r="IW141" s="102"/>
      <c r="IX141" s="102"/>
      <c r="IY141" s="102"/>
      <c r="IZ141" s="102"/>
      <c r="JA141" s="102"/>
      <c r="JB141" s="102"/>
      <c r="JC141" s="102"/>
      <c r="JD141" s="102"/>
      <c r="JE141" s="102"/>
      <c r="JF141" s="102"/>
      <c r="JG141" s="102"/>
      <c r="JH141" s="102"/>
      <c r="JI141" s="102"/>
      <c r="JJ141" s="102"/>
      <c r="JK141" s="102"/>
      <c r="JL141" s="102"/>
      <c r="JM141" s="102"/>
      <c r="JN141" s="102"/>
      <c r="JO141" s="102"/>
      <c r="JP141" s="102"/>
      <c r="JQ141" s="102"/>
      <c r="JR141" s="102"/>
      <c r="JS141" s="102"/>
      <c r="JT141" s="102"/>
      <c r="JU141" s="102"/>
      <c r="JV141" s="102"/>
      <c r="JW141" s="102"/>
      <c r="JX141" s="102"/>
      <c r="JY141" s="102"/>
      <c r="JZ141" s="102"/>
      <c r="KA141" s="102"/>
      <c r="KB141" s="102"/>
      <c r="KC141" s="102"/>
      <c r="KD141" s="102"/>
      <c r="KE141" s="102"/>
      <c r="KF141" s="102"/>
      <c r="KG141" s="102"/>
      <c r="KH141" s="102"/>
      <c r="KI141" s="102"/>
      <c r="KJ141" s="102"/>
      <c r="KK141" s="102"/>
      <c r="KL141" s="102"/>
      <c r="KM141" s="102"/>
      <c r="KN141" s="102"/>
      <c r="KO141" s="102"/>
      <c r="KP141" s="102"/>
      <c r="KQ141" s="102"/>
      <c r="KR141" s="102"/>
      <c r="KS141" s="102"/>
      <c r="KT141" s="102"/>
      <c r="KU141" s="102"/>
      <c r="KV141" s="102"/>
      <c r="KW141" s="102"/>
      <c r="KX141" s="102"/>
      <c r="KY141" s="102"/>
      <c r="KZ141" s="102"/>
      <c r="LA141" s="102"/>
      <c r="LB141" s="102"/>
      <c r="LC141" s="102"/>
      <c r="LD141" s="102"/>
      <c r="LE141" s="102"/>
      <c r="LF141" s="102"/>
      <c r="LG141" s="102"/>
      <c r="LH141" s="102"/>
      <c r="LI141" s="102"/>
      <c r="LJ141" s="102"/>
      <c r="LK141" s="102"/>
      <c r="LL141" s="102"/>
      <c r="LM141" s="102"/>
      <c r="LN141" s="102"/>
      <c r="LO141" s="102"/>
      <c r="LP141" s="102"/>
      <c r="LQ141" s="102"/>
      <c r="LR141" s="102"/>
      <c r="LS141" s="102"/>
      <c r="LT141" s="102"/>
      <c r="LU141" s="102"/>
      <c r="LV141" s="102"/>
      <c r="LW141" s="102"/>
      <c r="LX141" s="102"/>
      <c r="LY141" s="102"/>
    </row>
    <row r="142" ht="15" customHeight="1">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c r="EO142" s="102"/>
      <c r="EP142" s="102"/>
      <c r="EQ142" s="102"/>
      <c r="ER142" s="102"/>
      <c r="ES142" s="102"/>
      <c r="ET142" s="102"/>
      <c r="EU142" s="102"/>
      <c r="EV142" s="102"/>
      <c r="EW142" s="102"/>
      <c r="EX142" s="102"/>
      <c r="EY142" s="102"/>
      <c r="EZ142" s="102"/>
      <c r="FA142" s="102"/>
      <c r="FB142" s="102"/>
      <c r="FC142" s="102"/>
      <c r="FD142" s="102"/>
      <c r="FE142" s="102"/>
      <c r="FF142" s="102"/>
      <c r="FG142" s="102"/>
      <c r="FH142" s="102"/>
      <c r="FI142" s="102"/>
      <c r="FJ142" s="102"/>
      <c r="FK142" s="102"/>
      <c r="FL142" s="102"/>
      <c r="FM142" s="102"/>
      <c r="FN142" s="102"/>
      <c r="FO142" s="102"/>
      <c r="FP142" s="102"/>
      <c r="FQ142" s="102"/>
      <c r="FR142" s="102"/>
      <c r="FS142" s="102"/>
      <c r="FT142" s="102"/>
      <c r="FU142" s="102"/>
      <c r="FV142" s="102"/>
      <c r="FW142" s="102"/>
      <c r="FX142" s="102"/>
      <c r="FY142" s="102"/>
      <c r="FZ142" s="102"/>
      <c r="GA142" s="102"/>
      <c r="GB142" s="102"/>
      <c r="GC142" s="102"/>
      <c r="GD142" s="102"/>
      <c r="GE142" s="102"/>
      <c r="GF142" s="102"/>
      <c r="GG142" s="102"/>
      <c r="GH142" s="102"/>
      <c r="GI142" s="102"/>
      <c r="GJ142" s="102"/>
      <c r="GK142" s="102"/>
      <c r="GL142" s="102"/>
      <c r="GM142" s="102"/>
      <c r="GN142" s="102"/>
      <c r="GO142" s="102"/>
      <c r="GP142" s="102"/>
      <c r="GQ142" s="102"/>
      <c r="GR142" s="102"/>
      <c r="GS142" s="102"/>
      <c r="GT142" s="102"/>
      <c r="GU142" s="102"/>
      <c r="GV142" s="102"/>
      <c r="GW142" s="102"/>
      <c r="GX142" s="102"/>
      <c r="GY142" s="102"/>
      <c r="GZ142" s="102"/>
      <c r="HA142" s="102"/>
      <c r="HB142" s="102"/>
      <c r="HC142" s="102"/>
      <c r="HD142" s="102"/>
      <c r="HE142" s="102"/>
      <c r="HF142" s="102"/>
      <c r="HG142" s="102"/>
      <c r="HH142" s="102"/>
      <c r="HI142" s="102"/>
      <c r="HJ142" s="102"/>
      <c r="HK142" s="102"/>
      <c r="HL142" s="102"/>
      <c r="HM142" s="102"/>
      <c r="HN142" s="102"/>
      <c r="HO142" s="102"/>
      <c r="HP142" s="102"/>
      <c r="HQ142" s="102"/>
      <c r="HR142" s="102"/>
      <c r="HS142" s="102"/>
      <c r="HT142" s="102"/>
      <c r="HU142" s="102"/>
      <c r="HV142" s="102"/>
      <c r="HW142" s="102"/>
      <c r="HX142" s="102"/>
      <c r="HY142" s="102"/>
      <c r="HZ142" s="102"/>
      <c r="IA142" s="102"/>
      <c r="IB142" s="102"/>
      <c r="IC142" s="102"/>
      <c r="ID142" s="102"/>
      <c r="IE142" s="102"/>
      <c r="IF142" s="102"/>
      <c r="IG142" s="102"/>
      <c r="IH142" s="102"/>
      <c r="II142" s="102"/>
      <c r="IJ142" s="102"/>
      <c r="IK142" s="102"/>
      <c r="IL142" s="102"/>
      <c r="IM142" s="102"/>
      <c r="IN142" s="102"/>
      <c r="IO142" s="102"/>
      <c r="IP142" s="102"/>
      <c r="IQ142" s="102"/>
      <c r="IR142" s="102"/>
      <c r="IS142" s="102"/>
      <c r="IT142" s="102"/>
      <c r="IU142" s="102"/>
      <c r="IV142" s="102"/>
      <c r="IW142" s="102"/>
      <c r="IX142" s="102"/>
      <c r="IY142" s="102"/>
      <c r="IZ142" s="102"/>
      <c r="JA142" s="102"/>
      <c r="JB142" s="102"/>
      <c r="JC142" s="102"/>
      <c r="JD142" s="102"/>
      <c r="JE142" s="102"/>
      <c r="JF142" s="102"/>
      <c r="JG142" s="102"/>
      <c r="JH142" s="102"/>
      <c r="JI142" s="102"/>
      <c r="JJ142" s="102"/>
      <c r="JK142" s="102"/>
      <c r="JL142" s="102"/>
      <c r="JM142" s="102"/>
      <c r="JN142" s="102"/>
      <c r="JO142" s="102"/>
      <c r="JP142" s="102"/>
      <c r="JQ142" s="102"/>
      <c r="JR142" s="102"/>
      <c r="JS142" s="102"/>
      <c r="JT142" s="102"/>
      <c r="JU142" s="102"/>
      <c r="JV142" s="102"/>
      <c r="JW142" s="102"/>
      <c r="JX142" s="102"/>
      <c r="JY142" s="102"/>
      <c r="JZ142" s="102"/>
      <c r="KA142" s="102"/>
      <c r="KB142" s="102"/>
      <c r="KC142" s="102"/>
      <c r="KD142" s="102"/>
      <c r="KE142" s="102"/>
      <c r="KF142" s="102"/>
      <c r="KG142" s="102"/>
      <c r="KH142" s="102"/>
      <c r="KI142" s="102"/>
      <c r="KJ142" s="102"/>
      <c r="KK142" s="102"/>
      <c r="KL142" s="102"/>
      <c r="KM142" s="102"/>
      <c r="KN142" s="102"/>
      <c r="KO142" s="102"/>
      <c r="KP142" s="102"/>
      <c r="KQ142" s="102"/>
      <c r="KR142" s="102"/>
      <c r="KS142" s="102"/>
      <c r="KT142" s="102"/>
      <c r="KU142" s="102"/>
      <c r="KV142" s="102"/>
      <c r="KW142" s="102"/>
      <c r="KX142" s="102"/>
      <c r="KY142" s="102"/>
      <c r="KZ142" s="102"/>
      <c r="LA142" s="102"/>
      <c r="LB142" s="102"/>
      <c r="LC142" s="102"/>
      <c r="LD142" s="102"/>
      <c r="LE142" s="102"/>
      <c r="LF142" s="102"/>
      <c r="LG142" s="102"/>
      <c r="LH142" s="102"/>
      <c r="LI142" s="102"/>
      <c r="LJ142" s="102"/>
      <c r="LK142" s="102"/>
      <c r="LL142" s="102"/>
      <c r="LM142" s="102"/>
      <c r="LN142" s="102"/>
      <c r="LO142" s="102"/>
      <c r="LP142" s="102"/>
      <c r="LQ142" s="102"/>
      <c r="LR142" s="102"/>
      <c r="LS142" s="102"/>
      <c r="LT142" s="102"/>
      <c r="LU142" s="102"/>
      <c r="LV142" s="102"/>
      <c r="LW142" s="102"/>
      <c r="LX142" s="102"/>
      <c r="LY142" s="102"/>
    </row>
    <row r="143" ht="15" customHeight="1">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c r="EO143" s="102"/>
      <c r="EP143" s="102"/>
      <c r="EQ143" s="102"/>
      <c r="ER143" s="102"/>
      <c r="ES143" s="102"/>
      <c r="ET143" s="102"/>
      <c r="EU143" s="102"/>
      <c r="EV143" s="102"/>
      <c r="EW143" s="102"/>
      <c r="EX143" s="102"/>
      <c r="EY143" s="102"/>
      <c r="EZ143" s="102"/>
      <c r="FA143" s="102"/>
      <c r="FB143" s="102"/>
      <c r="FC143" s="102"/>
      <c r="FD143" s="102"/>
      <c r="FE143" s="102"/>
      <c r="FF143" s="102"/>
      <c r="FG143" s="102"/>
      <c r="FH143" s="102"/>
      <c r="FI143" s="102"/>
      <c r="FJ143" s="102"/>
      <c r="FK143" s="102"/>
      <c r="FL143" s="102"/>
      <c r="FM143" s="102"/>
      <c r="FN143" s="102"/>
      <c r="FO143" s="102"/>
      <c r="FP143" s="102"/>
      <c r="FQ143" s="102"/>
      <c r="FR143" s="102"/>
      <c r="FS143" s="102"/>
      <c r="FT143" s="102"/>
      <c r="FU143" s="102"/>
      <c r="FV143" s="102"/>
      <c r="FW143" s="102"/>
      <c r="FX143" s="102"/>
      <c r="FY143" s="102"/>
      <c r="FZ143" s="102"/>
      <c r="GA143" s="102"/>
      <c r="GB143" s="102"/>
      <c r="GC143" s="102"/>
      <c r="GD143" s="102"/>
      <c r="GE143" s="102"/>
      <c r="GF143" s="102"/>
      <c r="GG143" s="102"/>
      <c r="GH143" s="102"/>
      <c r="GI143" s="102"/>
      <c r="GJ143" s="102"/>
      <c r="GK143" s="102"/>
      <c r="GL143" s="102"/>
      <c r="GM143" s="102"/>
      <c r="GN143" s="102"/>
      <c r="GO143" s="102"/>
      <c r="GP143" s="102"/>
      <c r="GQ143" s="102"/>
      <c r="GR143" s="102"/>
      <c r="GS143" s="102"/>
      <c r="GT143" s="102"/>
      <c r="GU143" s="102"/>
      <c r="GV143" s="102"/>
      <c r="GW143" s="102"/>
      <c r="GX143" s="102"/>
      <c r="GY143" s="102"/>
      <c r="GZ143" s="102"/>
      <c r="HA143" s="102"/>
      <c r="HB143" s="102"/>
      <c r="HC143" s="102"/>
      <c r="HD143" s="102"/>
      <c r="HE143" s="102"/>
      <c r="HF143" s="102"/>
      <c r="HG143" s="102"/>
      <c r="HH143" s="102"/>
      <c r="HI143" s="102"/>
      <c r="HJ143" s="102"/>
      <c r="HK143" s="102"/>
      <c r="HL143" s="102"/>
      <c r="HM143" s="102"/>
      <c r="HN143" s="102"/>
      <c r="HO143" s="102"/>
      <c r="HP143" s="102"/>
      <c r="HQ143" s="102"/>
      <c r="HR143" s="102"/>
      <c r="HS143" s="102"/>
      <c r="HT143" s="102"/>
      <c r="HU143" s="102"/>
      <c r="HV143" s="102"/>
      <c r="HW143" s="102"/>
      <c r="HX143" s="102"/>
      <c r="HY143" s="102"/>
      <c r="HZ143" s="102"/>
      <c r="IA143" s="102"/>
      <c r="IB143" s="102"/>
      <c r="IC143" s="102"/>
      <c r="ID143" s="102"/>
      <c r="IE143" s="102"/>
      <c r="IF143" s="102"/>
      <c r="IG143" s="102"/>
      <c r="IH143" s="102"/>
      <c r="II143" s="102"/>
      <c r="IJ143" s="102"/>
      <c r="IK143" s="102"/>
      <c r="IL143" s="102"/>
      <c r="IM143" s="102"/>
      <c r="IN143" s="102"/>
      <c r="IO143" s="102"/>
      <c r="IP143" s="102"/>
      <c r="IQ143" s="102"/>
      <c r="IR143" s="102"/>
      <c r="IS143" s="102"/>
      <c r="IT143" s="102"/>
      <c r="IU143" s="102"/>
      <c r="IV143" s="102"/>
      <c r="IW143" s="102"/>
      <c r="IX143" s="102"/>
      <c r="IY143" s="102"/>
      <c r="IZ143" s="102"/>
      <c r="JA143" s="102"/>
      <c r="JB143" s="102"/>
      <c r="JC143" s="102"/>
      <c r="JD143" s="102"/>
      <c r="JE143" s="102"/>
      <c r="JF143" s="102"/>
      <c r="JG143" s="102"/>
      <c r="JH143" s="102"/>
      <c r="JI143" s="102"/>
      <c r="JJ143" s="102"/>
      <c r="JK143" s="102"/>
      <c r="JL143" s="102"/>
      <c r="JM143" s="102"/>
      <c r="JN143" s="102"/>
      <c r="JO143" s="102"/>
      <c r="JP143" s="102"/>
      <c r="JQ143" s="102"/>
      <c r="JR143" s="102"/>
      <c r="JS143" s="102"/>
      <c r="JT143" s="102"/>
      <c r="JU143" s="102"/>
      <c r="JV143" s="102"/>
      <c r="JW143" s="102"/>
      <c r="JX143" s="102"/>
      <c r="JY143" s="102"/>
      <c r="JZ143" s="102"/>
      <c r="KA143" s="102"/>
      <c r="KB143" s="102"/>
      <c r="KC143" s="102"/>
      <c r="KD143" s="102"/>
      <c r="KE143" s="102"/>
      <c r="KF143" s="102"/>
      <c r="KG143" s="102"/>
      <c r="KH143" s="102"/>
      <c r="KI143" s="102"/>
      <c r="KJ143" s="102"/>
      <c r="KK143" s="102"/>
      <c r="KL143" s="102"/>
      <c r="KM143" s="102"/>
      <c r="KN143" s="102"/>
      <c r="KO143" s="102"/>
      <c r="KP143" s="102"/>
      <c r="KQ143" s="102"/>
      <c r="KR143" s="102"/>
      <c r="KS143" s="102"/>
      <c r="KT143" s="102"/>
      <c r="KU143" s="102"/>
      <c r="KV143" s="102"/>
      <c r="KW143" s="102"/>
      <c r="KX143" s="102"/>
      <c r="KY143" s="102"/>
      <c r="KZ143" s="102"/>
      <c r="LA143" s="102"/>
      <c r="LB143" s="102"/>
      <c r="LC143" s="102"/>
      <c r="LD143" s="102"/>
      <c r="LE143" s="102"/>
      <c r="LF143" s="102"/>
      <c r="LG143" s="102"/>
      <c r="LH143" s="102"/>
      <c r="LI143" s="102"/>
      <c r="LJ143" s="102"/>
      <c r="LK143" s="102"/>
      <c r="LL143" s="102"/>
      <c r="LM143" s="102"/>
      <c r="LN143" s="102"/>
      <c r="LO143" s="102"/>
      <c r="LP143" s="102"/>
      <c r="LQ143" s="102"/>
      <c r="LR143" s="102"/>
      <c r="LS143" s="102"/>
      <c r="LT143" s="102"/>
      <c r="LU143" s="102"/>
      <c r="LV143" s="102"/>
      <c r="LW143" s="102"/>
      <c r="LX143" s="102"/>
      <c r="LY143" s="102"/>
    </row>
    <row r="144" ht="15" customHeight="1">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c r="EO144" s="102"/>
      <c r="EP144" s="102"/>
      <c r="EQ144" s="102"/>
      <c r="ER144" s="102"/>
      <c r="ES144" s="102"/>
      <c r="ET144" s="102"/>
      <c r="EU144" s="102"/>
      <c r="EV144" s="102"/>
      <c r="EW144" s="102"/>
      <c r="EX144" s="102"/>
      <c r="EY144" s="102"/>
      <c r="EZ144" s="102"/>
      <c r="FA144" s="102"/>
      <c r="FB144" s="102"/>
      <c r="FC144" s="102"/>
      <c r="FD144" s="102"/>
      <c r="FE144" s="102"/>
      <c r="FF144" s="102"/>
      <c r="FG144" s="102"/>
      <c r="FH144" s="102"/>
      <c r="FI144" s="102"/>
      <c r="FJ144" s="102"/>
      <c r="FK144" s="102"/>
      <c r="FL144" s="102"/>
      <c r="FM144" s="102"/>
      <c r="FN144" s="102"/>
      <c r="FO144" s="102"/>
      <c r="FP144" s="102"/>
      <c r="FQ144" s="102"/>
      <c r="FR144" s="102"/>
      <c r="FS144" s="102"/>
      <c r="FT144" s="102"/>
      <c r="FU144" s="102"/>
      <c r="FV144" s="102"/>
      <c r="FW144" s="102"/>
      <c r="FX144" s="102"/>
      <c r="FY144" s="102"/>
      <c r="FZ144" s="102"/>
      <c r="GA144" s="102"/>
      <c r="GB144" s="102"/>
      <c r="GC144" s="102"/>
      <c r="GD144" s="102"/>
      <c r="GE144" s="102"/>
      <c r="GF144" s="102"/>
      <c r="GG144" s="102"/>
      <c r="GH144" s="102"/>
      <c r="GI144" s="102"/>
      <c r="GJ144" s="102"/>
      <c r="GK144" s="102"/>
      <c r="GL144" s="102"/>
      <c r="GM144" s="102"/>
      <c r="GN144" s="102"/>
      <c r="GO144" s="102"/>
      <c r="GP144" s="102"/>
      <c r="GQ144" s="102"/>
      <c r="GR144" s="102"/>
      <c r="GS144" s="102"/>
      <c r="GT144" s="102"/>
      <c r="GU144" s="102"/>
      <c r="GV144" s="102"/>
      <c r="GW144" s="102"/>
      <c r="GX144" s="102"/>
      <c r="GY144" s="102"/>
      <c r="GZ144" s="102"/>
      <c r="HA144" s="102"/>
      <c r="HB144" s="102"/>
      <c r="HC144" s="102"/>
      <c r="HD144" s="102"/>
      <c r="HE144" s="102"/>
      <c r="HF144" s="102"/>
      <c r="HG144" s="102"/>
      <c r="HH144" s="102"/>
      <c r="HI144" s="102"/>
      <c r="HJ144" s="102"/>
      <c r="HK144" s="102"/>
      <c r="HL144" s="102"/>
      <c r="HM144" s="102"/>
      <c r="HN144" s="102"/>
      <c r="HO144" s="102"/>
      <c r="HP144" s="102"/>
      <c r="HQ144" s="102"/>
      <c r="HR144" s="102"/>
      <c r="HS144" s="102"/>
      <c r="HT144" s="102"/>
      <c r="HU144" s="102"/>
      <c r="HV144" s="102"/>
      <c r="HW144" s="102"/>
      <c r="HX144" s="102"/>
      <c r="HY144" s="102"/>
      <c r="HZ144" s="102"/>
      <c r="IA144" s="102"/>
      <c r="IB144" s="102"/>
      <c r="IC144" s="102"/>
      <c r="ID144" s="102"/>
      <c r="IE144" s="102"/>
      <c r="IF144" s="102"/>
      <c r="IG144" s="102"/>
      <c r="IH144" s="102"/>
      <c r="II144" s="102"/>
      <c r="IJ144" s="102"/>
      <c r="IK144" s="102"/>
      <c r="IL144" s="102"/>
      <c r="IM144" s="102"/>
      <c r="IN144" s="102"/>
      <c r="IO144" s="102"/>
      <c r="IP144" s="102"/>
      <c r="IQ144" s="102"/>
      <c r="IR144" s="102"/>
      <c r="IS144" s="102"/>
      <c r="IT144" s="102"/>
      <c r="IU144" s="102"/>
      <c r="IV144" s="102"/>
      <c r="IW144" s="102"/>
      <c r="IX144" s="102"/>
      <c r="IY144" s="102"/>
      <c r="IZ144" s="102"/>
      <c r="JA144" s="102"/>
      <c r="JB144" s="102"/>
      <c r="JC144" s="102"/>
      <c r="JD144" s="102"/>
      <c r="JE144" s="102"/>
      <c r="JF144" s="102"/>
      <c r="JG144" s="102"/>
      <c r="JH144" s="102"/>
      <c r="JI144" s="102"/>
      <c r="JJ144" s="102"/>
      <c r="JK144" s="102"/>
      <c r="JL144" s="102"/>
      <c r="JM144" s="102"/>
      <c r="JN144" s="102"/>
      <c r="JO144" s="102"/>
      <c r="JP144" s="102"/>
      <c r="JQ144" s="102"/>
      <c r="JR144" s="102"/>
      <c r="JS144" s="102"/>
      <c r="JT144" s="102"/>
      <c r="JU144" s="102"/>
      <c r="JV144" s="102"/>
      <c r="JW144" s="102"/>
      <c r="JX144" s="102"/>
      <c r="JY144" s="102"/>
      <c r="JZ144" s="102"/>
      <c r="KA144" s="102"/>
      <c r="KB144" s="102"/>
      <c r="KC144" s="102"/>
      <c r="KD144" s="102"/>
      <c r="KE144" s="102"/>
      <c r="KF144" s="102"/>
      <c r="KG144" s="102"/>
      <c r="KH144" s="102"/>
      <c r="KI144" s="102"/>
      <c r="KJ144" s="102"/>
      <c r="KK144" s="102"/>
      <c r="KL144" s="102"/>
      <c r="KM144" s="102"/>
      <c r="KN144" s="102"/>
      <c r="KO144" s="102"/>
      <c r="KP144" s="102"/>
      <c r="KQ144" s="102"/>
      <c r="KR144" s="102"/>
      <c r="KS144" s="102"/>
      <c r="KT144" s="102"/>
      <c r="KU144" s="102"/>
      <c r="KV144" s="102"/>
      <c r="KW144" s="102"/>
      <c r="KX144" s="102"/>
      <c r="KY144" s="102"/>
      <c r="KZ144" s="102"/>
      <c r="LA144" s="102"/>
      <c r="LB144" s="102"/>
      <c r="LC144" s="102"/>
      <c r="LD144" s="102"/>
      <c r="LE144" s="102"/>
      <c r="LF144" s="102"/>
      <c r="LG144" s="102"/>
      <c r="LH144" s="102"/>
      <c r="LI144" s="102"/>
      <c r="LJ144" s="102"/>
      <c r="LK144" s="102"/>
      <c r="LL144" s="102"/>
      <c r="LM144" s="102"/>
      <c r="LN144" s="102"/>
      <c r="LO144" s="102"/>
      <c r="LP144" s="102"/>
      <c r="LQ144" s="102"/>
      <c r="LR144" s="102"/>
      <c r="LS144" s="102"/>
      <c r="LT144" s="102"/>
      <c r="LU144" s="102"/>
      <c r="LV144" s="102"/>
      <c r="LW144" s="102"/>
      <c r="LX144" s="102"/>
      <c r="LY144" s="102"/>
    </row>
    <row r="145" ht="15" customHeight="1">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c r="EO145" s="102"/>
      <c r="EP145" s="102"/>
      <c r="EQ145" s="102"/>
      <c r="ER145" s="102"/>
      <c r="ES145" s="102"/>
      <c r="ET145" s="102"/>
      <c r="EU145" s="102"/>
      <c r="EV145" s="102"/>
      <c r="EW145" s="102"/>
      <c r="EX145" s="102"/>
      <c r="EY145" s="102"/>
      <c r="EZ145" s="102"/>
      <c r="FA145" s="102"/>
      <c r="FB145" s="102"/>
      <c r="FC145" s="102"/>
      <c r="FD145" s="102"/>
      <c r="FE145" s="102"/>
      <c r="FF145" s="102"/>
      <c r="FG145" s="102"/>
      <c r="FH145" s="102"/>
      <c r="FI145" s="102"/>
      <c r="FJ145" s="102"/>
      <c r="FK145" s="102"/>
      <c r="FL145" s="102"/>
      <c r="FM145" s="102"/>
      <c r="FN145" s="102"/>
      <c r="FO145" s="102"/>
      <c r="FP145" s="102"/>
      <c r="FQ145" s="102"/>
      <c r="FR145" s="102"/>
      <c r="FS145" s="102"/>
      <c r="FT145" s="102"/>
      <c r="FU145" s="102"/>
      <c r="FV145" s="102"/>
      <c r="FW145" s="102"/>
      <c r="FX145" s="102"/>
      <c r="FY145" s="102"/>
      <c r="FZ145" s="102"/>
      <c r="GA145" s="102"/>
      <c r="GB145" s="102"/>
      <c r="GC145" s="102"/>
      <c r="GD145" s="102"/>
      <c r="GE145" s="102"/>
      <c r="GF145" s="102"/>
      <c r="GG145" s="102"/>
      <c r="GH145" s="102"/>
      <c r="GI145" s="102"/>
      <c r="GJ145" s="102"/>
      <c r="GK145" s="102"/>
      <c r="GL145" s="102"/>
      <c r="GM145" s="102"/>
      <c r="GN145" s="102"/>
      <c r="GO145" s="102"/>
      <c r="GP145" s="102"/>
      <c r="GQ145" s="102"/>
      <c r="GR145" s="102"/>
      <c r="GS145" s="102"/>
      <c r="GT145" s="102"/>
      <c r="GU145" s="102"/>
      <c r="GV145" s="102"/>
      <c r="GW145" s="102"/>
      <c r="GX145" s="102"/>
      <c r="GY145" s="102"/>
      <c r="GZ145" s="102"/>
      <c r="HA145" s="102"/>
      <c r="HB145" s="102"/>
      <c r="HC145" s="102"/>
      <c r="HD145" s="102"/>
      <c r="HE145" s="102"/>
      <c r="HF145" s="102"/>
      <c r="HG145" s="102"/>
      <c r="HH145" s="102"/>
      <c r="HI145" s="102"/>
      <c r="HJ145" s="102"/>
      <c r="HK145" s="102"/>
      <c r="HL145" s="102"/>
      <c r="HM145" s="102"/>
      <c r="HN145" s="102"/>
      <c r="HO145" s="102"/>
      <c r="HP145" s="102"/>
      <c r="HQ145" s="102"/>
      <c r="HR145" s="102"/>
      <c r="HS145" s="102"/>
      <c r="HT145" s="102"/>
      <c r="HU145" s="102"/>
      <c r="HV145" s="102"/>
      <c r="HW145" s="102"/>
      <c r="HX145" s="102"/>
      <c r="HY145" s="102"/>
      <c r="HZ145" s="102"/>
      <c r="IA145" s="102"/>
      <c r="IB145" s="102"/>
      <c r="IC145" s="102"/>
      <c r="ID145" s="102"/>
      <c r="IE145" s="102"/>
      <c r="IF145" s="102"/>
      <c r="IG145" s="102"/>
      <c r="IH145" s="102"/>
      <c r="II145" s="102"/>
      <c r="IJ145" s="102"/>
      <c r="IK145" s="102"/>
      <c r="IL145" s="102"/>
      <c r="IM145" s="102"/>
      <c r="IN145" s="102"/>
      <c r="IO145" s="102"/>
      <c r="IP145" s="102"/>
      <c r="IQ145" s="102"/>
      <c r="IR145" s="102"/>
      <c r="IS145" s="102"/>
      <c r="IT145" s="102"/>
      <c r="IU145" s="102"/>
      <c r="IV145" s="102"/>
      <c r="IW145" s="102"/>
      <c r="IX145" s="102"/>
      <c r="IY145" s="102"/>
      <c r="IZ145" s="102"/>
      <c r="JA145" s="102"/>
      <c r="JB145" s="102"/>
      <c r="JC145" s="102"/>
      <c r="JD145" s="102"/>
      <c r="JE145" s="102"/>
      <c r="JF145" s="102"/>
      <c r="JG145" s="102"/>
      <c r="JH145" s="102"/>
      <c r="JI145" s="102"/>
      <c r="JJ145" s="102"/>
      <c r="JK145" s="102"/>
      <c r="JL145" s="102"/>
      <c r="JM145" s="102"/>
      <c r="JN145" s="102"/>
      <c r="JO145" s="102"/>
      <c r="JP145" s="102"/>
      <c r="JQ145" s="102"/>
      <c r="JR145" s="102"/>
      <c r="JS145" s="102"/>
      <c r="JT145" s="102"/>
      <c r="JU145" s="102"/>
      <c r="JV145" s="102"/>
      <c r="JW145" s="102"/>
      <c r="JX145" s="102"/>
      <c r="JY145" s="102"/>
      <c r="JZ145" s="102"/>
      <c r="KA145" s="102"/>
      <c r="KB145" s="102"/>
      <c r="KC145" s="102"/>
      <c r="KD145" s="102"/>
      <c r="KE145" s="102"/>
      <c r="KF145" s="102"/>
      <c r="KG145" s="102"/>
      <c r="KH145" s="102"/>
      <c r="KI145" s="102"/>
      <c r="KJ145" s="102"/>
      <c r="KK145" s="102"/>
      <c r="KL145" s="102"/>
      <c r="KM145" s="102"/>
      <c r="KN145" s="102"/>
      <c r="KO145" s="102"/>
      <c r="KP145" s="102"/>
      <c r="KQ145" s="102"/>
      <c r="KR145" s="102"/>
      <c r="KS145" s="102"/>
      <c r="KT145" s="102"/>
      <c r="KU145" s="102"/>
      <c r="KV145" s="102"/>
      <c r="KW145" s="102"/>
      <c r="KX145" s="102"/>
      <c r="KY145" s="102"/>
      <c r="KZ145" s="102"/>
      <c r="LA145" s="102"/>
      <c r="LB145" s="102"/>
      <c r="LC145" s="102"/>
      <c r="LD145" s="102"/>
      <c r="LE145" s="102"/>
      <c r="LF145" s="102"/>
      <c r="LG145" s="102"/>
      <c r="LH145" s="102"/>
      <c r="LI145" s="102"/>
      <c r="LJ145" s="102"/>
      <c r="LK145" s="102"/>
      <c r="LL145" s="102"/>
      <c r="LM145" s="102"/>
      <c r="LN145" s="102"/>
      <c r="LO145" s="102"/>
      <c r="LP145" s="102"/>
      <c r="LQ145" s="102"/>
      <c r="LR145" s="102"/>
      <c r="LS145" s="102"/>
      <c r="LT145" s="102"/>
      <c r="LU145" s="102"/>
      <c r="LV145" s="102"/>
      <c r="LW145" s="102"/>
      <c r="LX145" s="102"/>
      <c r="LY145" s="102"/>
    </row>
    <row r="146" ht="15" customHeight="1">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c r="EO146" s="102"/>
      <c r="EP146" s="102"/>
      <c r="EQ146" s="102"/>
      <c r="ER146" s="102"/>
      <c r="ES146" s="102"/>
      <c r="ET146" s="102"/>
      <c r="EU146" s="102"/>
      <c r="EV146" s="102"/>
      <c r="EW146" s="102"/>
      <c r="EX146" s="102"/>
      <c r="EY146" s="102"/>
      <c r="EZ146" s="102"/>
      <c r="FA146" s="102"/>
      <c r="FB146" s="102"/>
      <c r="FC146" s="102"/>
      <c r="FD146" s="102"/>
      <c r="FE146" s="102"/>
      <c r="FF146" s="102"/>
      <c r="FG146" s="102"/>
      <c r="FH146" s="102"/>
      <c r="FI146" s="102"/>
      <c r="FJ146" s="102"/>
      <c r="FK146" s="102"/>
      <c r="FL146" s="102"/>
      <c r="FM146" s="102"/>
      <c r="FN146" s="102"/>
      <c r="FO146" s="102"/>
      <c r="FP146" s="102"/>
      <c r="FQ146" s="102"/>
      <c r="FR146" s="102"/>
      <c r="FS146" s="102"/>
      <c r="FT146" s="102"/>
      <c r="FU146" s="102"/>
      <c r="FV146" s="102"/>
      <c r="FW146" s="102"/>
      <c r="FX146" s="102"/>
      <c r="FY146" s="102"/>
      <c r="FZ146" s="102"/>
      <c r="GA146" s="102"/>
      <c r="GB146" s="102"/>
      <c r="GC146" s="102"/>
      <c r="GD146" s="102"/>
      <c r="GE146" s="102"/>
      <c r="GF146" s="102"/>
      <c r="GG146" s="102"/>
      <c r="GH146" s="102"/>
      <c r="GI146" s="102"/>
      <c r="GJ146" s="102"/>
      <c r="GK146" s="102"/>
      <c r="GL146" s="102"/>
      <c r="GM146" s="102"/>
      <c r="GN146" s="102"/>
      <c r="GO146" s="102"/>
      <c r="GP146" s="102"/>
      <c r="GQ146" s="102"/>
      <c r="GR146" s="102"/>
      <c r="GS146" s="102"/>
      <c r="GT146" s="102"/>
      <c r="GU146" s="102"/>
      <c r="GV146" s="102"/>
      <c r="GW146" s="102"/>
      <c r="GX146" s="102"/>
      <c r="GY146" s="102"/>
      <c r="GZ146" s="102"/>
      <c r="HA146" s="102"/>
      <c r="HB146" s="102"/>
      <c r="HC146" s="102"/>
      <c r="HD146" s="102"/>
      <c r="HE146" s="102"/>
      <c r="HF146" s="102"/>
      <c r="HG146" s="102"/>
      <c r="HH146" s="102"/>
      <c r="HI146" s="102"/>
      <c r="HJ146" s="102"/>
      <c r="HK146" s="102"/>
      <c r="HL146" s="102"/>
      <c r="HM146" s="102"/>
      <c r="HN146" s="102"/>
      <c r="HO146" s="102"/>
      <c r="HP146" s="102"/>
      <c r="HQ146" s="102"/>
      <c r="HR146" s="102"/>
      <c r="HS146" s="102"/>
      <c r="HT146" s="102"/>
      <c r="HU146" s="102"/>
      <c r="HV146" s="102"/>
      <c r="HW146" s="102"/>
      <c r="HX146" s="102"/>
      <c r="HY146" s="102"/>
      <c r="HZ146" s="102"/>
      <c r="IA146" s="102"/>
      <c r="IB146" s="102"/>
      <c r="IC146" s="102"/>
      <c r="ID146" s="102"/>
      <c r="IE146" s="102"/>
      <c r="IF146" s="102"/>
      <c r="IG146" s="102"/>
      <c r="IH146" s="102"/>
      <c r="II146" s="102"/>
      <c r="IJ146" s="102"/>
      <c r="IK146" s="102"/>
      <c r="IL146" s="102"/>
      <c r="IM146" s="102"/>
      <c r="IN146" s="102"/>
      <c r="IO146" s="102"/>
      <c r="IP146" s="102"/>
      <c r="IQ146" s="102"/>
      <c r="IR146" s="102"/>
      <c r="IS146" s="102"/>
      <c r="IT146" s="102"/>
      <c r="IU146" s="102"/>
      <c r="IV146" s="102"/>
      <c r="IW146" s="102"/>
      <c r="IX146" s="102"/>
      <c r="IY146" s="102"/>
      <c r="IZ146" s="102"/>
      <c r="JA146" s="102"/>
      <c r="JB146" s="102"/>
      <c r="JC146" s="102"/>
      <c r="JD146" s="102"/>
      <c r="JE146" s="102"/>
      <c r="JF146" s="102"/>
      <c r="JG146" s="102"/>
      <c r="JH146" s="102"/>
      <c r="JI146" s="102"/>
      <c r="JJ146" s="102"/>
      <c r="JK146" s="102"/>
      <c r="JL146" s="102"/>
      <c r="JM146" s="102"/>
      <c r="JN146" s="102"/>
      <c r="JO146" s="102"/>
      <c r="JP146" s="102"/>
      <c r="JQ146" s="102"/>
      <c r="JR146" s="102"/>
      <c r="JS146" s="102"/>
      <c r="JT146" s="102"/>
      <c r="JU146" s="102"/>
      <c r="JV146" s="102"/>
      <c r="JW146" s="102"/>
      <c r="JX146" s="102"/>
      <c r="JY146" s="102"/>
      <c r="JZ146" s="102"/>
      <c r="KA146" s="102"/>
      <c r="KB146" s="102"/>
      <c r="KC146" s="102"/>
      <c r="KD146" s="102"/>
      <c r="KE146" s="102"/>
      <c r="KF146" s="102"/>
      <c r="KG146" s="102"/>
      <c r="KH146" s="102"/>
      <c r="KI146" s="102"/>
      <c r="KJ146" s="102"/>
      <c r="KK146" s="102"/>
      <c r="KL146" s="102"/>
      <c r="KM146" s="102"/>
      <c r="KN146" s="102"/>
      <c r="KO146" s="102"/>
      <c r="KP146" s="102"/>
      <c r="KQ146" s="102"/>
      <c r="KR146" s="102"/>
      <c r="KS146" s="102"/>
      <c r="KT146" s="102"/>
      <c r="KU146" s="102"/>
      <c r="KV146" s="102"/>
      <c r="KW146" s="102"/>
      <c r="KX146" s="102"/>
      <c r="KY146" s="102"/>
      <c r="KZ146" s="102"/>
      <c r="LA146" s="102"/>
      <c r="LB146" s="102"/>
      <c r="LC146" s="102"/>
      <c r="LD146" s="102"/>
      <c r="LE146" s="102"/>
      <c r="LF146" s="102"/>
      <c r="LG146" s="102"/>
      <c r="LH146" s="102"/>
      <c r="LI146" s="102"/>
      <c r="LJ146" s="102"/>
      <c r="LK146" s="102"/>
      <c r="LL146" s="102"/>
      <c r="LM146" s="102"/>
      <c r="LN146" s="102"/>
      <c r="LO146" s="102"/>
      <c r="LP146" s="102"/>
      <c r="LQ146" s="102"/>
      <c r="LR146" s="102"/>
      <c r="LS146" s="102"/>
      <c r="LT146" s="102"/>
      <c r="LU146" s="102"/>
      <c r="LV146" s="102"/>
      <c r="LW146" s="102"/>
      <c r="LX146" s="102"/>
      <c r="LY146" s="102"/>
    </row>
    <row r="147" ht="15" customHeight="1">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c r="EO147" s="102"/>
      <c r="EP147" s="102"/>
      <c r="EQ147" s="102"/>
      <c r="ER147" s="102"/>
      <c r="ES147" s="102"/>
      <c r="ET147" s="102"/>
      <c r="EU147" s="102"/>
      <c r="EV147" s="102"/>
      <c r="EW147" s="102"/>
      <c r="EX147" s="102"/>
      <c r="EY147" s="102"/>
      <c r="EZ147" s="102"/>
      <c r="FA147" s="102"/>
      <c r="FB147" s="102"/>
      <c r="FC147" s="102"/>
      <c r="FD147" s="102"/>
      <c r="FE147" s="102"/>
      <c r="FF147" s="102"/>
      <c r="FG147" s="102"/>
      <c r="FH147" s="102"/>
      <c r="FI147" s="102"/>
      <c r="FJ147" s="102"/>
      <c r="FK147" s="102"/>
      <c r="FL147" s="102"/>
      <c r="FM147" s="102"/>
      <c r="FN147" s="102"/>
      <c r="FO147" s="102"/>
      <c r="FP147" s="102"/>
      <c r="FQ147" s="102"/>
      <c r="FR147" s="102"/>
      <c r="FS147" s="102"/>
      <c r="FT147" s="102"/>
      <c r="FU147" s="102"/>
      <c r="FV147" s="102"/>
      <c r="FW147" s="102"/>
      <c r="FX147" s="102"/>
      <c r="FY147" s="102"/>
      <c r="FZ147" s="102"/>
      <c r="GA147" s="102"/>
      <c r="GB147" s="102"/>
      <c r="GC147" s="102"/>
      <c r="GD147" s="102"/>
      <c r="GE147" s="102"/>
      <c r="GF147" s="102"/>
      <c r="GG147" s="102"/>
      <c r="GH147" s="102"/>
      <c r="GI147" s="102"/>
      <c r="GJ147" s="102"/>
      <c r="GK147" s="102"/>
      <c r="GL147" s="102"/>
      <c r="GM147" s="102"/>
      <c r="GN147" s="102"/>
      <c r="GO147" s="102"/>
      <c r="GP147" s="102"/>
      <c r="GQ147" s="102"/>
      <c r="GR147" s="102"/>
      <c r="GS147" s="102"/>
      <c r="GT147" s="102"/>
      <c r="GU147" s="102"/>
      <c r="GV147" s="102"/>
      <c r="GW147" s="102"/>
      <c r="GX147" s="102"/>
      <c r="GY147" s="102"/>
      <c r="GZ147" s="102"/>
      <c r="HA147" s="102"/>
      <c r="HB147" s="102"/>
      <c r="HC147" s="102"/>
      <c r="HD147" s="102"/>
      <c r="HE147" s="102"/>
      <c r="HF147" s="102"/>
      <c r="HG147" s="102"/>
      <c r="HH147" s="102"/>
      <c r="HI147" s="102"/>
      <c r="HJ147" s="102"/>
      <c r="HK147" s="102"/>
      <c r="HL147" s="102"/>
      <c r="HM147" s="102"/>
      <c r="HN147" s="102"/>
      <c r="HO147" s="102"/>
      <c r="HP147" s="102"/>
      <c r="HQ147" s="102"/>
      <c r="HR147" s="102"/>
      <c r="HS147" s="102"/>
      <c r="HT147" s="102"/>
      <c r="HU147" s="102"/>
      <c r="HV147" s="102"/>
      <c r="HW147" s="102"/>
      <c r="HX147" s="102"/>
      <c r="HY147" s="102"/>
      <c r="HZ147" s="102"/>
      <c r="IA147" s="102"/>
      <c r="IB147" s="102"/>
      <c r="IC147" s="102"/>
      <c r="ID147" s="102"/>
      <c r="IE147" s="102"/>
      <c r="IF147" s="102"/>
      <c r="IG147" s="102"/>
      <c r="IH147" s="102"/>
      <c r="II147" s="102"/>
      <c r="IJ147" s="102"/>
      <c r="IK147" s="102"/>
      <c r="IL147" s="102"/>
      <c r="IM147" s="102"/>
      <c r="IN147" s="102"/>
      <c r="IO147" s="102"/>
      <c r="IP147" s="102"/>
      <c r="IQ147" s="102"/>
      <c r="IR147" s="102"/>
      <c r="IS147" s="102"/>
      <c r="IT147" s="102"/>
      <c r="IU147" s="102"/>
      <c r="IV147" s="102"/>
      <c r="IW147" s="102"/>
      <c r="IX147" s="102"/>
      <c r="IY147" s="102"/>
      <c r="IZ147" s="102"/>
      <c r="JA147" s="102"/>
      <c r="JB147" s="102"/>
      <c r="JC147" s="102"/>
      <c r="JD147" s="102"/>
      <c r="JE147" s="102"/>
      <c r="JF147" s="102"/>
      <c r="JG147" s="102"/>
      <c r="JH147" s="102"/>
      <c r="JI147" s="102"/>
      <c r="JJ147" s="102"/>
      <c r="JK147" s="102"/>
      <c r="JL147" s="102"/>
      <c r="JM147" s="102"/>
      <c r="JN147" s="102"/>
      <c r="JO147" s="102"/>
      <c r="JP147" s="102"/>
      <c r="JQ147" s="102"/>
      <c r="JR147" s="102"/>
      <c r="JS147" s="102"/>
      <c r="JT147" s="102"/>
      <c r="JU147" s="102"/>
      <c r="JV147" s="102"/>
      <c r="JW147" s="102"/>
      <c r="JX147" s="102"/>
      <c r="JY147" s="102"/>
      <c r="JZ147" s="102"/>
      <c r="KA147" s="102"/>
      <c r="KB147" s="102"/>
      <c r="KC147" s="102"/>
      <c r="KD147" s="102"/>
      <c r="KE147" s="102"/>
      <c r="KF147" s="102"/>
      <c r="KG147" s="102"/>
      <c r="KH147" s="102"/>
      <c r="KI147" s="102"/>
      <c r="KJ147" s="102"/>
      <c r="KK147" s="102"/>
      <c r="KL147" s="102"/>
      <c r="KM147" s="102"/>
      <c r="KN147" s="102"/>
      <c r="KO147" s="102"/>
      <c r="KP147" s="102"/>
      <c r="KQ147" s="102"/>
      <c r="KR147" s="102"/>
      <c r="KS147" s="102"/>
      <c r="KT147" s="102"/>
      <c r="KU147" s="102"/>
      <c r="KV147" s="102"/>
      <c r="KW147" s="102"/>
      <c r="KX147" s="102"/>
      <c r="KY147" s="102"/>
      <c r="KZ147" s="102"/>
      <c r="LA147" s="102"/>
      <c r="LB147" s="102"/>
      <c r="LC147" s="102"/>
      <c r="LD147" s="102"/>
      <c r="LE147" s="102"/>
      <c r="LF147" s="102"/>
      <c r="LG147" s="102"/>
      <c r="LH147" s="102"/>
      <c r="LI147" s="102"/>
      <c r="LJ147" s="102"/>
      <c r="LK147" s="102"/>
      <c r="LL147" s="102"/>
      <c r="LM147" s="102"/>
      <c r="LN147" s="102"/>
      <c r="LO147" s="102"/>
      <c r="LP147" s="102"/>
      <c r="LQ147" s="102"/>
      <c r="LR147" s="102"/>
      <c r="LS147" s="102"/>
      <c r="LT147" s="102"/>
      <c r="LU147" s="102"/>
      <c r="LV147" s="102"/>
      <c r="LW147" s="102"/>
      <c r="LX147" s="102"/>
      <c r="LY147" s="102"/>
    </row>
    <row r="148" ht="15" customHeight="1">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c r="EO148" s="102"/>
      <c r="EP148" s="102"/>
      <c r="EQ148" s="102"/>
      <c r="ER148" s="102"/>
      <c r="ES148" s="102"/>
      <c r="ET148" s="102"/>
      <c r="EU148" s="102"/>
      <c r="EV148" s="102"/>
      <c r="EW148" s="102"/>
      <c r="EX148" s="102"/>
      <c r="EY148" s="102"/>
      <c r="EZ148" s="102"/>
      <c r="FA148" s="102"/>
      <c r="FB148" s="102"/>
      <c r="FC148" s="102"/>
      <c r="FD148" s="102"/>
      <c r="FE148" s="102"/>
      <c r="FF148" s="102"/>
      <c r="FG148" s="102"/>
      <c r="FH148" s="102"/>
      <c r="FI148" s="102"/>
      <c r="FJ148" s="102"/>
      <c r="FK148" s="102"/>
      <c r="FL148" s="102"/>
      <c r="FM148" s="102"/>
      <c r="FN148" s="102"/>
      <c r="FO148" s="102"/>
      <c r="FP148" s="102"/>
      <c r="FQ148" s="102"/>
      <c r="FR148" s="102"/>
      <c r="FS148" s="102"/>
      <c r="FT148" s="102"/>
      <c r="FU148" s="102"/>
      <c r="FV148" s="102"/>
      <c r="FW148" s="102"/>
      <c r="FX148" s="102"/>
      <c r="FY148" s="102"/>
      <c r="FZ148" s="102"/>
      <c r="GA148" s="102"/>
      <c r="GB148" s="102"/>
      <c r="GC148" s="102"/>
      <c r="GD148" s="102"/>
      <c r="GE148" s="102"/>
      <c r="GF148" s="102"/>
      <c r="GG148" s="102"/>
      <c r="GH148" s="102"/>
      <c r="GI148" s="102"/>
      <c r="GJ148" s="102"/>
      <c r="GK148" s="102"/>
      <c r="GL148" s="102"/>
      <c r="GM148" s="102"/>
      <c r="GN148" s="102"/>
      <c r="GO148" s="102"/>
      <c r="GP148" s="102"/>
      <c r="GQ148" s="102"/>
      <c r="GR148" s="102"/>
      <c r="GS148" s="102"/>
      <c r="GT148" s="102"/>
      <c r="GU148" s="102"/>
      <c r="GV148" s="102"/>
      <c r="GW148" s="102"/>
      <c r="GX148" s="102"/>
      <c r="GY148" s="102"/>
      <c r="GZ148" s="102"/>
      <c r="HA148" s="102"/>
      <c r="HB148" s="102"/>
      <c r="HC148" s="102"/>
      <c r="HD148" s="102"/>
      <c r="HE148" s="102"/>
      <c r="HF148" s="102"/>
      <c r="HG148" s="102"/>
      <c r="HH148" s="102"/>
      <c r="HI148" s="102"/>
      <c r="HJ148" s="102"/>
      <c r="HK148" s="102"/>
      <c r="HL148" s="102"/>
      <c r="HM148" s="102"/>
      <c r="HN148" s="102"/>
      <c r="HO148" s="102"/>
      <c r="HP148" s="102"/>
      <c r="HQ148" s="102"/>
      <c r="HR148" s="102"/>
      <c r="HS148" s="102"/>
      <c r="HT148" s="102"/>
      <c r="HU148" s="102"/>
      <c r="HV148" s="102"/>
      <c r="HW148" s="102"/>
      <c r="HX148" s="102"/>
      <c r="HY148" s="102"/>
      <c r="HZ148" s="102"/>
      <c r="IA148" s="102"/>
      <c r="IB148" s="102"/>
      <c r="IC148" s="102"/>
      <c r="ID148" s="102"/>
      <c r="IE148" s="102"/>
      <c r="IF148" s="102"/>
      <c r="IG148" s="102"/>
      <c r="IH148" s="102"/>
      <c r="II148" s="102"/>
      <c r="IJ148" s="102"/>
      <c r="IK148" s="102"/>
      <c r="IL148" s="102"/>
      <c r="IM148" s="102"/>
      <c r="IN148" s="102"/>
      <c r="IO148" s="102"/>
      <c r="IP148" s="102"/>
      <c r="IQ148" s="102"/>
      <c r="IR148" s="102"/>
      <c r="IS148" s="102"/>
      <c r="IT148" s="102"/>
      <c r="IU148" s="102"/>
      <c r="IV148" s="102"/>
      <c r="IW148" s="102"/>
      <c r="IX148" s="102"/>
      <c r="IY148" s="102"/>
      <c r="IZ148" s="102"/>
      <c r="JA148" s="102"/>
      <c r="JB148" s="102"/>
      <c r="JC148" s="102"/>
      <c r="JD148" s="102"/>
      <c r="JE148" s="102"/>
      <c r="JF148" s="102"/>
      <c r="JG148" s="102"/>
      <c r="JH148" s="102"/>
      <c r="JI148" s="102"/>
      <c r="JJ148" s="102"/>
      <c r="JK148" s="102"/>
      <c r="JL148" s="102"/>
      <c r="JM148" s="102"/>
      <c r="JN148" s="102"/>
      <c r="JO148" s="102"/>
      <c r="JP148" s="102"/>
      <c r="JQ148" s="102"/>
      <c r="JR148" s="102"/>
      <c r="JS148" s="102"/>
      <c r="JT148" s="102"/>
      <c r="JU148" s="102"/>
      <c r="JV148" s="102"/>
      <c r="JW148" s="102"/>
      <c r="JX148" s="102"/>
      <c r="JY148" s="102"/>
      <c r="JZ148" s="102"/>
      <c r="KA148" s="102"/>
      <c r="KB148" s="102"/>
      <c r="KC148" s="102"/>
      <c r="KD148" s="102"/>
      <c r="KE148" s="102"/>
      <c r="KF148" s="102"/>
      <c r="KG148" s="102"/>
      <c r="KH148" s="102"/>
      <c r="KI148" s="102"/>
      <c r="KJ148" s="102"/>
      <c r="KK148" s="102"/>
      <c r="KL148" s="102"/>
      <c r="KM148" s="102"/>
      <c r="KN148" s="102"/>
      <c r="KO148" s="102"/>
      <c r="KP148" s="102"/>
      <c r="KQ148" s="102"/>
      <c r="KR148" s="102"/>
      <c r="KS148" s="102"/>
      <c r="KT148" s="102"/>
      <c r="KU148" s="102"/>
      <c r="KV148" s="102"/>
      <c r="KW148" s="102"/>
      <c r="KX148" s="102"/>
      <c r="KY148" s="102"/>
      <c r="KZ148" s="102"/>
      <c r="LA148" s="102"/>
      <c r="LB148" s="102"/>
      <c r="LC148" s="102"/>
      <c r="LD148" s="102"/>
      <c r="LE148" s="102"/>
      <c r="LF148" s="102"/>
      <c r="LG148" s="102"/>
      <c r="LH148" s="102"/>
      <c r="LI148" s="102"/>
      <c r="LJ148" s="102"/>
      <c r="LK148" s="102"/>
      <c r="LL148" s="102"/>
      <c r="LM148" s="102"/>
      <c r="LN148" s="102"/>
      <c r="LO148" s="102"/>
      <c r="LP148" s="102"/>
      <c r="LQ148" s="102"/>
      <c r="LR148" s="102"/>
      <c r="LS148" s="102"/>
      <c r="LT148" s="102"/>
      <c r="LU148" s="102"/>
      <c r="LV148" s="102"/>
      <c r="LW148" s="102"/>
      <c r="LX148" s="102"/>
      <c r="LY148" s="102"/>
    </row>
    <row r="149" ht="15" customHeight="1">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c r="EO149" s="102"/>
      <c r="EP149" s="102"/>
      <c r="EQ149" s="102"/>
      <c r="ER149" s="102"/>
      <c r="ES149" s="102"/>
      <c r="ET149" s="102"/>
      <c r="EU149" s="102"/>
      <c r="EV149" s="102"/>
      <c r="EW149" s="102"/>
      <c r="EX149" s="102"/>
      <c r="EY149" s="102"/>
      <c r="EZ149" s="102"/>
      <c r="FA149" s="102"/>
      <c r="FB149" s="102"/>
      <c r="FC149" s="102"/>
      <c r="FD149" s="102"/>
      <c r="FE149" s="102"/>
      <c r="FF149" s="102"/>
      <c r="FG149" s="102"/>
      <c r="FH149" s="102"/>
      <c r="FI149" s="102"/>
      <c r="FJ149" s="102"/>
      <c r="FK149" s="102"/>
      <c r="FL149" s="102"/>
      <c r="FM149" s="102"/>
      <c r="FN149" s="102"/>
      <c r="FO149" s="102"/>
      <c r="FP149" s="102"/>
      <c r="FQ149" s="102"/>
      <c r="FR149" s="102"/>
      <c r="FS149" s="102"/>
      <c r="FT149" s="102"/>
      <c r="FU149" s="102"/>
      <c r="FV149" s="102"/>
      <c r="FW149" s="102"/>
      <c r="FX149" s="102"/>
      <c r="FY149" s="102"/>
      <c r="FZ149" s="102"/>
      <c r="GA149" s="102"/>
      <c r="GB149" s="102"/>
      <c r="GC149" s="102"/>
      <c r="GD149" s="102"/>
      <c r="GE149" s="102"/>
      <c r="GF149" s="102"/>
      <c r="GG149" s="102"/>
      <c r="GH149" s="102"/>
      <c r="GI149" s="102"/>
      <c r="GJ149" s="102"/>
      <c r="GK149" s="102"/>
      <c r="GL149" s="102"/>
      <c r="GM149" s="102"/>
      <c r="GN149" s="102"/>
      <c r="GO149" s="102"/>
      <c r="GP149" s="102"/>
      <c r="GQ149" s="102"/>
      <c r="GR149" s="102"/>
      <c r="GS149" s="102"/>
      <c r="GT149" s="102"/>
      <c r="GU149" s="102"/>
      <c r="GV149" s="102"/>
      <c r="GW149" s="102"/>
      <c r="GX149" s="102"/>
      <c r="GY149" s="102"/>
      <c r="GZ149" s="102"/>
      <c r="HA149" s="102"/>
      <c r="HB149" s="102"/>
      <c r="HC149" s="102"/>
      <c r="HD149" s="102"/>
      <c r="HE149" s="102"/>
      <c r="HF149" s="102"/>
      <c r="HG149" s="102"/>
      <c r="HH149" s="102"/>
      <c r="HI149" s="102"/>
      <c r="HJ149" s="102"/>
      <c r="HK149" s="102"/>
      <c r="HL149" s="102"/>
      <c r="HM149" s="102"/>
      <c r="HN149" s="102"/>
      <c r="HO149" s="102"/>
      <c r="HP149" s="102"/>
      <c r="HQ149" s="102"/>
      <c r="HR149" s="102"/>
      <c r="HS149" s="102"/>
      <c r="HT149" s="102"/>
      <c r="HU149" s="102"/>
      <c r="HV149" s="102"/>
      <c r="HW149" s="102"/>
      <c r="HX149" s="102"/>
      <c r="HY149" s="102"/>
      <c r="HZ149" s="102"/>
      <c r="IA149" s="102"/>
      <c r="IB149" s="102"/>
      <c r="IC149" s="102"/>
      <c r="ID149" s="102"/>
      <c r="IE149" s="102"/>
      <c r="IF149" s="102"/>
      <c r="IG149" s="102"/>
      <c r="IH149" s="102"/>
      <c r="II149" s="102"/>
      <c r="IJ149" s="102"/>
      <c r="IK149" s="102"/>
      <c r="IL149" s="102"/>
      <c r="IM149" s="102"/>
      <c r="IN149" s="102"/>
      <c r="IO149" s="102"/>
      <c r="IP149" s="102"/>
      <c r="IQ149" s="102"/>
      <c r="IR149" s="102"/>
      <c r="IS149" s="102"/>
      <c r="IT149" s="102"/>
      <c r="IU149" s="102"/>
      <c r="IV149" s="102"/>
      <c r="IW149" s="102"/>
      <c r="IX149" s="102"/>
      <c r="IY149" s="102"/>
      <c r="IZ149" s="102"/>
      <c r="JA149" s="102"/>
      <c r="JB149" s="102"/>
      <c r="JC149" s="102"/>
      <c r="JD149" s="102"/>
      <c r="JE149" s="102"/>
      <c r="JF149" s="102"/>
      <c r="JG149" s="102"/>
      <c r="JH149" s="102"/>
      <c r="JI149" s="102"/>
      <c r="JJ149" s="102"/>
      <c r="JK149" s="102"/>
      <c r="JL149" s="102"/>
      <c r="JM149" s="102"/>
      <c r="JN149" s="102"/>
      <c r="JO149" s="102"/>
      <c r="JP149" s="102"/>
      <c r="JQ149" s="102"/>
      <c r="JR149" s="102"/>
      <c r="JS149" s="102"/>
      <c r="JT149" s="102"/>
      <c r="JU149" s="102"/>
      <c r="JV149" s="102"/>
      <c r="JW149" s="102"/>
      <c r="JX149" s="102"/>
      <c r="JY149" s="102"/>
      <c r="JZ149" s="102"/>
      <c r="KA149" s="102"/>
      <c r="KB149" s="102"/>
      <c r="KC149" s="102"/>
      <c r="KD149" s="102"/>
      <c r="KE149" s="102"/>
      <c r="KF149" s="102"/>
      <c r="KG149" s="102"/>
      <c r="KH149" s="102"/>
      <c r="KI149" s="102"/>
      <c r="KJ149" s="102"/>
      <c r="KK149" s="102"/>
      <c r="KL149" s="102"/>
      <c r="KM149" s="102"/>
      <c r="KN149" s="102"/>
      <c r="KO149" s="102"/>
      <c r="KP149" s="102"/>
      <c r="KQ149" s="102"/>
      <c r="KR149" s="102"/>
      <c r="KS149" s="102"/>
      <c r="KT149" s="102"/>
      <c r="KU149" s="102"/>
      <c r="KV149" s="102"/>
      <c r="KW149" s="102"/>
      <c r="KX149" s="102"/>
      <c r="KY149" s="102"/>
      <c r="KZ149" s="102"/>
      <c r="LA149" s="102"/>
      <c r="LB149" s="102"/>
      <c r="LC149" s="102"/>
      <c r="LD149" s="102"/>
      <c r="LE149" s="102"/>
      <c r="LF149" s="102"/>
      <c r="LG149" s="102"/>
      <c r="LH149" s="102"/>
      <c r="LI149" s="102"/>
      <c r="LJ149" s="102"/>
      <c r="LK149" s="102"/>
      <c r="LL149" s="102"/>
      <c r="LM149" s="102"/>
      <c r="LN149" s="102"/>
      <c r="LO149" s="102"/>
      <c r="LP149" s="102"/>
      <c r="LQ149" s="102"/>
      <c r="LR149" s="102"/>
      <c r="LS149" s="102"/>
      <c r="LT149" s="102"/>
      <c r="LU149" s="102"/>
      <c r="LV149" s="102"/>
      <c r="LW149" s="102"/>
      <c r="LX149" s="102"/>
      <c r="LY149" s="102"/>
    </row>
    <row r="150" ht="15" customHeight="1">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c r="EO150" s="102"/>
      <c r="EP150" s="102"/>
      <c r="EQ150" s="102"/>
      <c r="ER150" s="102"/>
      <c r="ES150" s="102"/>
      <c r="ET150" s="102"/>
      <c r="EU150" s="102"/>
      <c r="EV150" s="102"/>
      <c r="EW150" s="102"/>
      <c r="EX150" s="102"/>
      <c r="EY150" s="102"/>
      <c r="EZ150" s="102"/>
      <c r="FA150" s="102"/>
      <c r="FB150" s="102"/>
      <c r="FC150" s="102"/>
      <c r="FD150" s="102"/>
      <c r="FE150" s="102"/>
      <c r="FF150" s="102"/>
      <c r="FG150" s="102"/>
      <c r="FH150" s="102"/>
      <c r="FI150" s="102"/>
      <c r="FJ150" s="102"/>
      <c r="FK150" s="102"/>
      <c r="FL150" s="102"/>
      <c r="FM150" s="102"/>
      <c r="FN150" s="102"/>
      <c r="FO150" s="102"/>
      <c r="FP150" s="102"/>
      <c r="FQ150" s="102"/>
      <c r="FR150" s="102"/>
      <c r="FS150" s="102"/>
      <c r="FT150" s="102"/>
      <c r="FU150" s="102"/>
      <c r="FV150" s="102"/>
      <c r="FW150" s="102"/>
      <c r="FX150" s="102"/>
      <c r="FY150" s="102"/>
      <c r="FZ150" s="102"/>
      <c r="GA150" s="102"/>
      <c r="GB150" s="102"/>
      <c r="GC150" s="102"/>
      <c r="GD150" s="102"/>
      <c r="GE150" s="102"/>
      <c r="GF150" s="102"/>
      <c r="GG150" s="102"/>
      <c r="GH150" s="102"/>
      <c r="GI150" s="102"/>
      <c r="GJ150" s="102"/>
      <c r="GK150" s="102"/>
      <c r="GL150" s="102"/>
      <c r="GM150" s="102"/>
      <c r="GN150" s="102"/>
      <c r="GO150" s="102"/>
      <c r="GP150" s="102"/>
      <c r="GQ150" s="102"/>
      <c r="GR150" s="102"/>
      <c r="GS150" s="102"/>
      <c r="GT150" s="102"/>
      <c r="GU150" s="102"/>
      <c r="GV150" s="102"/>
      <c r="GW150" s="102"/>
      <c r="GX150" s="102"/>
      <c r="GY150" s="102"/>
      <c r="GZ150" s="102"/>
      <c r="HA150" s="102"/>
      <c r="HB150" s="102"/>
      <c r="HC150" s="102"/>
      <c r="HD150" s="102"/>
      <c r="HE150" s="102"/>
      <c r="HF150" s="102"/>
      <c r="HG150" s="102"/>
      <c r="HH150" s="102"/>
      <c r="HI150" s="102"/>
      <c r="HJ150" s="102"/>
      <c r="HK150" s="102"/>
      <c r="HL150" s="102"/>
      <c r="HM150" s="102"/>
      <c r="HN150" s="102"/>
      <c r="HO150" s="102"/>
      <c r="HP150" s="102"/>
      <c r="HQ150" s="102"/>
      <c r="HR150" s="102"/>
      <c r="HS150" s="102"/>
      <c r="HT150" s="102"/>
      <c r="HU150" s="102"/>
      <c r="HV150" s="102"/>
      <c r="HW150" s="102"/>
      <c r="HX150" s="102"/>
      <c r="HY150" s="102"/>
      <c r="HZ150" s="102"/>
      <c r="IA150" s="102"/>
      <c r="IB150" s="102"/>
      <c r="IC150" s="102"/>
      <c r="ID150" s="102"/>
      <c r="IE150" s="102"/>
      <c r="IF150" s="102"/>
      <c r="IG150" s="102"/>
      <c r="IH150" s="102"/>
      <c r="II150" s="102"/>
      <c r="IJ150" s="102"/>
      <c r="IK150" s="102"/>
      <c r="IL150" s="102"/>
      <c r="IM150" s="102"/>
      <c r="IN150" s="102"/>
      <c r="IO150" s="102"/>
      <c r="IP150" s="102"/>
      <c r="IQ150" s="102"/>
      <c r="IR150" s="102"/>
      <c r="IS150" s="102"/>
      <c r="IT150" s="102"/>
      <c r="IU150" s="102"/>
      <c r="IV150" s="102"/>
      <c r="IW150" s="102"/>
      <c r="IX150" s="102"/>
      <c r="IY150" s="102"/>
      <c r="IZ150" s="102"/>
      <c r="JA150" s="102"/>
      <c r="JB150" s="102"/>
      <c r="JC150" s="102"/>
      <c r="JD150" s="102"/>
      <c r="JE150" s="102"/>
      <c r="JF150" s="102"/>
      <c r="JG150" s="102"/>
      <c r="JH150" s="102"/>
      <c r="JI150" s="102"/>
      <c r="JJ150" s="102"/>
      <c r="JK150" s="102"/>
      <c r="JL150" s="102"/>
      <c r="JM150" s="102"/>
      <c r="JN150" s="102"/>
      <c r="JO150" s="102"/>
      <c r="JP150" s="102"/>
      <c r="JQ150" s="102"/>
      <c r="JR150" s="102"/>
      <c r="JS150" s="102"/>
      <c r="JT150" s="102"/>
      <c r="JU150" s="102"/>
      <c r="JV150" s="102"/>
      <c r="JW150" s="102"/>
      <c r="JX150" s="102"/>
      <c r="JY150" s="102"/>
      <c r="JZ150" s="102"/>
      <c r="KA150" s="102"/>
      <c r="KB150" s="102"/>
      <c r="KC150" s="102"/>
      <c r="KD150" s="102"/>
      <c r="KE150" s="102"/>
      <c r="KF150" s="102"/>
      <c r="KG150" s="102"/>
      <c r="KH150" s="102"/>
      <c r="KI150" s="102"/>
      <c r="KJ150" s="102"/>
      <c r="KK150" s="102"/>
      <c r="KL150" s="102"/>
      <c r="KM150" s="102"/>
      <c r="KN150" s="102"/>
      <c r="KO150" s="102"/>
      <c r="KP150" s="102"/>
      <c r="KQ150" s="102"/>
      <c r="KR150" s="102"/>
      <c r="KS150" s="102"/>
      <c r="KT150" s="102"/>
      <c r="KU150" s="102"/>
      <c r="KV150" s="102"/>
      <c r="KW150" s="102"/>
      <c r="KX150" s="102"/>
      <c r="KY150" s="102"/>
      <c r="KZ150" s="102"/>
      <c r="LA150" s="102"/>
      <c r="LB150" s="102"/>
      <c r="LC150" s="102"/>
      <c r="LD150" s="102"/>
      <c r="LE150" s="102"/>
      <c r="LF150" s="102"/>
      <c r="LG150" s="102"/>
      <c r="LH150" s="102"/>
      <c r="LI150" s="102"/>
      <c r="LJ150" s="102"/>
      <c r="LK150" s="102"/>
      <c r="LL150" s="102"/>
      <c r="LM150" s="102"/>
      <c r="LN150" s="102"/>
      <c r="LO150" s="102"/>
      <c r="LP150" s="102"/>
      <c r="LQ150" s="102"/>
      <c r="LR150" s="102"/>
      <c r="LS150" s="102"/>
      <c r="LT150" s="102"/>
      <c r="LU150" s="102"/>
      <c r="LV150" s="102"/>
      <c r="LW150" s="102"/>
      <c r="LX150" s="102"/>
      <c r="LY150" s="102"/>
    </row>
    <row r="151" ht="15" customHeight="1">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c r="EO151" s="102"/>
      <c r="EP151" s="102"/>
      <c r="EQ151" s="102"/>
      <c r="ER151" s="102"/>
      <c r="ES151" s="102"/>
      <c r="ET151" s="102"/>
      <c r="EU151" s="102"/>
      <c r="EV151" s="102"/>
      <c r="EW151" s="102"/>
      <c r="EX151" s="102"/>
      <c r="EY151" s="102"/>
      <c r="EZ151" s="102"/>
      <c r="FA151" s="102"/>
      <c r="FB151" s="102"/>
      <c r="FC151" s="102"/>
      <c r="FD151" s="102"/>
      <c r="FE151" s="102"/>
      <c r="FF151" s="102"/>
      <c r="FG151" s="102"/>
      <c r="FH151" s="102"/>
      <c r="FI151" s="102"/>
      <c r="FJ151" s="102"/>
      <c r="FK151" s="102"/>
      <c r="FL151" s="102"/>
      <c r="FM151" s="102"/>
      <c r="FN151" s="102"/>
      <c r="FO151" s="102"/>
      <c r="FP151" s="102"/>
      <c r="FQ151" s="102"/>
      <c r="FR151" s="102"/>
      <c r="FS151" s="102"/>
      <c r="FT151" s="102"/>
      <c r="FU151" s="102"/>
      <c r="FV151" s="102"/>
      <c r="FW151" s="102"/>
      <c r="FX151" s="102"/>
      <c r="FY151" s="102"/>
      <c r="FZ151" s="102"/>
      <c r="GA151" s="102"/>
      <c r="GB151" s="102"/>
      <c r="GC151" s="102"/>
      <c r="GD151" s="102"/>
      <c r="GE151" s="102"/>
      <c r="GF151" s="102"/>
      <c r="GG151" s="102"/>
      <c r="GH151" s="102"/>
      <c r="GI151" s="102"/>
      <c r="GJ151" s="102"/>
      <c r="GK151" s="102"/>
      <c r="GL151" s="102"/>
      <c r="GM151" s="102"/>
      <c r="GN151" s="102"/>
      <c r="GO151" s="102"/>
      <c r="GP151" s="102"/>
      <c r="GQ151" s="102"/>
      <c r="GR151" s="102"/>
      <c r="GS151" s="102"/>
      <c r="GT151" s="102"/>
      <c r="GU151" s="102"/>
      <c r="GV151" s="102"/>
      <c r="GW151" s="102"/>
      <c r="GX151" s="102"/>
      <c r="GY151" s="102"/>
      <c r="GZ151" s="102"/>
      <c r="HA151" s="102"/>
      <c r="HB151" s="102"/>
      <c r="HC151" s="102"/>
      <c r="HD151" s="102"/>
      <c r="HE151" s="102"/>
      <c r="HF151" s="102"/>
      <c r="HG151" s="102"/>
      <c r="HH151" s="102"/>
      <c r="HI151" s="102"/>
      <c r="HJ151" s="102"/>
      <c r="HK151" s="102"/>
      <c r="HL151" s="102"/>
      <c r="HM151" s="102"/>
      <c r="HN151" s="102"/>
      <c r="HO151" s="102"/>
      <c r="HP151" s="102"/>
      <c r="HQ151" s="102"/>
      <c r="HR151" s="102"/>
      <c r="HS151" s="102"/>
      <c r="HT151" s="102"/>
      <c r="HU151" s="102"/>
      <c r="HV151" s="102"/>
      <c r="HW151" s="102"/>
      <c r="HX151" s="102"/>
      <c r="HY151" s="102"/>
      <c r="HZ151" s="102"/>
      <c r="IA151" s="102"/>
      <c r="IB151" s="102"/>
      <c r="IC151" s="102"/>
      <c r="ID151" s="102"/>
      <c r="IE151" s="102"/>
      <c r="IF151" s="102"/>
      <c r="IG151" s="102"/>
      <c r="IH151" s="102"/>
      <c r="II151" s="102"/>
      <c r="IJ151" s="102"/>
      <c r="IK151" s="102"/>
      <c r="IL151" s="102"/>
      <c r="IM151" s="102"/>
      <c r="IN151" s="102"/>
      <c r="IO151" s="102"/>
      <c r="IP151" s="102"/>
      <c r="IQ151" s="102"/>
      <c r="IR151" s="102"/>
      <c r="IS151" s="102"/>
      <c r="IT151" s="102"/>
      <c r="IU151" s="102"/>
      <c r="IV151" s="102"/>
      <c r="IW151" s="102"/>
      <c r="IX151" s="102"/>
      <c r="IY151" s="102"/>
      <c r="IZ151" s="102"/>
      <c r="JA151" s="102"/>
      <c r="JB151" s="102"/>
      <c r="JC151" s="102"/>
      <c r="JD151" s="102"/>
      <c r="JE151" s="102"/>
      <c r="JF151" s="102"/>
      <c r="JG151" s="102"/>
      <c r="JH151" s="102"/>
      <c r="JI151" s="102"/>
      <c r="JJ151" s="102"/>
      <c r="JK151" s="102"/>
      <c r="JL151" s="102"/>
      <c r="JM151" s="102"/>
      <c r="JN151" s="102"/>
      <c r="JO151" s="102"/>
      <c r="JP151" s="102"/>
      <c r="JQ151" s="102"/>
      <c r="JR151" s="102"/>
      <c r="JS151" s="102"/>
      <c r="JT151" s="102"/>
      <c r="JU151" s="102"/>
      <c r="JV151" s="102"/>
      <c r="JW151" s="102"/>
      <c r="JX151" s="102"/>
      <c r="JY151" s="102"/>
      <c r="JZ151" s="102"/>
      <c r="KA151" s="102"/>
      <c r="KB151" s="102"/>
      <c r="KC151" s="102"/>
      <c r="KD151" s="102"/>
      <c r="KE151" s="102"/>
      <c r="KF151" s="102"/>
      <c r="KG151" s="102"/>
      <c r="KH151" s="102"/>
      <c r="KI151" s="102"/>
      <c r="KJ151" s="102"/>
      <c r="KK151" s="102"/>
      <c r="KL151" s="102"/>
      <c r="KM151" s="102"/>
      <c r="KN151" s="102"/>
      <c r="KO151" s="102"/>
      <c r="KP151" s="102"/>
      <c r="KQ151" s="102"/>
      <c r="KR151" s="102"/>
      <c r="KS151" s="102"/>
      <c r="KT151" s="102"/>
      <c r="KU151" s="102"/>
      <c r="KV151" s="102"/>
      <c r="KW151" s="102"/>
      <c r="KX151" s="102"/>
      <c r="KY151" s="102"/>
      <c r="KZ151" s="102"/>
      <c r="LA151" s="102"/>
      <c r="LB151" s="102"/>
      <c r="LC151" s="102"/>
      <c r="LD151" s="102"/>
      <c r="LE151" s="102"/>
      <c r="LF151" s="102"/>
      <c r="LG151" s="102"/>
      <c r="LH151" s="102"/>
      <c r="LI151" s="102"/>
      <c r="LJ151" s="102"/>
      <c r="LK151" s="102"/>
      <c r="LL151" s="102"/>
      <c r="LM151" s="102"/>
      <c r="LN151" s="102"/>
      <c r="LO151" s="102"/>
      <c r="LP151" s="102"/>
      <c r="LQ151" s="102"/>
      <c r="LR151" s="102"/>
      <c r="LS151" s="102"/>
      <c r="LT151" s="102"/>
      <c r="LU151" s="102"/>
      <c r="LV151" s="102"/>
      <c r="LW151" s="102"/>
      <c r="LX151" s="102"/>
      <c r="LY151" s="102"/>
    </row>
    <row r="152" ht="15" customHeight="1">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c r="EO152" s="102"/>
      <c r="EP152" s="102"/>
      <c r="EQ152" s="102"/>
      <c r="ER152" s="102"/>
      <c r="ES152" s="102"/>
      <c r="ET152" s="102"/>
      <c r="EU152" s="102"/>
      <c r="EV152" s="102"/>
      <c r="EW152" s="102"/>
      <c r="EX152" s="102"/>
      <c r="EY152" s="102"/>
      <c r="EZ152" s="102"/>
      <c r="FA152" s="102"/>
      <c r="FB152" s="102"/>
      <c r="FC152" s="102"/>
      <c r="FD152" s="102"/>
      <c r="FE152" s="102"/>
      <c r="FF152" s="102"/>
      <c r="FG152" s="102"/>
      <c r="FH152" s="102"/>
      <c r="FI152" s="102"/>
      <c r="FJ152" s="102"/>
      <c r="FK152" s="102"/>
      <c r="FL152" s="102"/>
      <c r="FM152" s="102"/>
      <c r="FN152" s="102"/>
      <c r="FO152" s="102"/>
      <c r="FP152" s="102"/>
      <c r="FQ152" s="102"/>
      <c r="FR152" s="102"/>
      <c r="FS152" s="102"/>
      <c r="FT152" s="102"/>
      <c r="FU152" s="102"/>
      <c r="FV152" s="102"/>
      <c r="FW152" s="102"/>
      <c r="FX152" s="102"/>
      <c r="FY152" s="102"/>
      <c r="FZ152" s="102"/>
      <c r="GA152" s="102"/>
      <c r="GB152" s="102"/>
      <c r="GC152" s="102"/>
      <c r="GD152" s="102"/>
      <c r="GE152" s="102"/>
      <c r="GF152" s="102"/>
      <c r="GG152" s="102"/>
      <c r="GH152" s="102"/>
      <c r="GI152" s="102"/>
      <c r="GJ152" s="102"/>
      <c r="GK152" s="102"/>
      <c r="GL152" s="102"/>
      <c r="GM152" s="102"/>
      <c r="GN152" s="102"/>
      <c r="GO152" s="102"/>
      <c r="GP152" s="102"/>
      <c r="GQ152" s="102"/>
      <c r="GR152" s="102"/>
      <c r="GS152" s="102"/>
      <c r="GT152" s="102"/>
      <c r="GU152" s="102"/>
      <c r="GV152" s="102"/>
      <c r="GW152" s="102"/>
      <c r="GX152" s="102"/>
      <c r="GY152" s="102"/>
      <c r="GZ152" s="102"/>
      <c r="HA152" s="102"/>
      <c r="HB152" s="102"/>
      <c r="HC152" s="102"/>
      <c r="HD152" s="102"/>
      <c r="HE152" s="102"/>
      <c r="HF152" s="102"/>
      <c r="HG152" s="102"/>
      <c r="HH152" s="102"/>
      <c r="HI152" s="102"/>
      <c r="HJ152" s="102"/>
      <c r="HK152" s="102"/>
      <c r="HL152" s="102"/>
      <c r="HM152" s="102"/>
      <c r="HN152" s="102"/>
      <c r="HO152" s="102"/>
      <c r="HP152" s="102"/>
      <c r="HQ152" s="102"/>
      <c r="HR152" s="102"/>
      <c r="HS152" s="102"/>
      <c r="HT152" s="102"/>
      <c r="HU152" s="102"/>
      <c r="HV152" s="102"/>
      <c r="HW152" s="102"/>
      <c r="HX152" s="102"/>
      <c r="HY152" s="102"/>
      <c r="HZ152" s="102"/>
      <c r="IA152" s="102"/>
      <c r="IB152" s="102"/>
      <c r="IC152" s="102"/>
      <c r="ID152" s="102"/>
      <c r="IE152" s="102"/>
      <c r="IF152" s="102"/>
      <c r="IG152" s="102"/>
      <c r="IH152" s="102"/>
      <c r="II152" s="102"/>
      <c r="IJ152" s="102"/>
      <c r="IK152" s="102"/>
      <c r="IL152" s="102"/>
      <c r="IM152" s="102"/>
      <c r="IN152" s="102"/>
      <c r="IO152" s="102"/>
      <c r="IP152" s="102"/>
      <c r="IQ152" s="102"/>
      <c r="IR152" s="102"/>
      <c r="IS152" s="102"/>
      <c r="IT152" s="102"/>
      <c r="IU152" s="102"/>
      <c r="IV152" s="102"/>
      <c r="IW152" s="102"/>
      <c r="IX152" s="102"/>
      <c r="IY152" s="102"/>
      <c r="IZ152" s="102"/>
      <c r="JA152" s="102"/>
      <c r="JB152" s="102"/>
      <c r="JC152" s="102"/>
      <c r="JD152" s="102"/>
      <c r="JE152" s="102"/>
      <c r="JF152" s="102"/>
      <c r="JG152" s="102"/>
      <c r="JH152" s="102"/>
      <c r="JI152" s="102"/>
      <c r="JJ152" s="102"/>
      <c r="JK152" s="102"/>
      <c r="JL152" s="102"/>
      <c r="JM152" s="102"/>
      <c r="JN152" s="102"/>
      <c r="JO152" s="102"/>
      <c r="JP152" s="102"/>
      <c r="JQ152" s="102"/>
      <c r="JR152" s="102"/>
      <c r="JS152" s="102"/>
      <c r="JT152" s="102"/>
      <c r="JU152" s="102"/>
      <c r="JV152" s="102"/>
      <c r="JW152" s="102"/>
      <c r="JX152" s="102"/>
      <c r="JY152" s="102"/>
      <c r="JZ152" s="102"/>
      <c r="KA152" s="102"/>
      <c r="KB152" s="102"/>
      <c r="KC152" s="102"/>
      <c r="KD152" s="102"/>
      <c r="KE152" s="102"/>
      <c r="KF152" s="102"/>
      <c r="KG152" s="102"/>
      <c r="KH152" s="102"/>
      <c r="KI152" s="102"/>
      <c r="KJ152" s="102"/>
      <c r="KK152" s="102"/>
      <c r="KL152" s="102"/>
      <c r="KM152" s="102"/>
      <c r="KN152" s="102"/>
      <c r="KO152" s="102"/>
      <c r="KP152" s="102"/>
      <c r="KQ152" s="102"/>
      <c r="KR152" s="102"/>
      <c r="KS152" s="102"/>
      <c r="KT152" s="102"/>
      <c r="KU152" s="102"/>
      <c r="KV152" s="102"/>
      <c r="KW152" s="102"/>
      <c r="KX152" s="102"/>
      <c r="KY152" s="102"/>
      <c r="KZ152" s="102"/>
      <c r="LA152" s="102"/>
      <c r="LB152" s="102"/>
      <c r="LC152" s="102"/>
      <c r="LD152" s="102"/>
      <c r="LE152" s="102"/>
      <c r="LF152" s="102"/>
      <c r="LG152" s="102"/>
      <c r="LH152" s="102"/>
      <c r="LI152" s="102"/>
      <c r="LJ152" s="102"/>
      <c r="LK152" s="102"/>
      <c r="LL152" s="102"/>
      <c r="LM152" s="102"/>
      <c r="LN152" s="102"/>
      <c r="LO152" s="102"/>
      <c r="LP152" s="102"/>
      <c r="LQ152" s="102"/>
      <c r="LR152" s="102"/>
      <c r="LS152" s="102"/>
      <c r="LT152" s="102"/>
      <c r="LU152" s="102"/>
      <c r="LV152" s="102"/>
      <c r="LW152" s="102"/>
      <c r="LX152" s="102"/>
      <c r="LY152" s="102"/>
    </row>
    <row r="153" ht="15" customHeight="1">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02"/>
      <c r="DI153" s="102"/>
      <c r="DJ153" s="102"/>
      <c r="DK153" s="102"/>
      <c r="DL153" s="102"/>
      <c r="DM153" s="102"/>
      <c r="DN153" s="102"/>
      <c r="DO153" s="102"/>
      <c r="DP153" s="102"/>
      <c r="DQ153" s="102"/>
      <c r="DR153" s="102"/>
      <c r="DS153" s="102"/>
      <c r="DT153" s="102"/>
      <c r="DU153" s="102"/>
      <c r="DV153" s="102"/>
      <c r="DW153" s="102"/>
      <c r="DX153" s="102"/>
      <c r="DY153" s="102"/>
      <c r="DZ153" s="102"/>
      <c r="EA153" s="102"/>
      <c r="EB153" s="102"/>
      <c r="EC153" s="102"/>
      <c r="ED153" s="102"/>
      <c r="EE153" s="102"/>
      <c r="EF153" s="102"/>
      <c r="EG153" s="102"/>
      <c r="EH153" s="102"/>
      <c r="EI153" s="102"/>
      <c r="EJ153" s="102"/>
      <c r="EK153" s="102"/>
      <c r="EL153" s="102"/>
      <c r="EM153" s="102"/>
      <c r="EN153" s="102"/>
      <c r="EO153" s="102"/>
      <c r="EP153" s="102"/>
      <c r="EQ153" s="102"/>
      <c r="ER153" s="102"/>
      <c r="ES153" s="102"/>
      <c r="ET153" s="102"/>
      <c r="EU153" s="102"/>
      <c r="EV153" s="102"/>
      <c r="EW153" s="102"/>
      <c r="EX153" s="102"/>
      <c r="EY153" s="102"/>
      <c r="EZ153" s="102"/>
      <c r="FA153" s="102"/>
      <c r="FB153" s="102"/>
      <c r="FC153" s="102"/>
      <c r="FD153" s="102"/>
      <c r="FE153" s="102"/>
      <c r="FF153" s="102"/>
      <c r="FG153" s="102"/>
      <c r="FH153" s="102"/>
      <c r="FI153" s="102"/>
      <c r="FJ153" s="102"/>
      <c r="FK153" s="102"/>
      <c r="FL153" s="102"/>
      <c r="FM153" s="102"/>
      <c r="FN153" s="102"/>
      <c r="FO153" s="102"/>
      <c r="FP153" s="102"/>
      <c r="FQ153" s="102"/>
      <c r="FR153" s="102"/>
      <c r="FS153" s="102"/>
      <c r="FT153" s="102"/>
      <c r="FU153" s="102"/>
      <c r="FV153" s="102"/>
      <c r="FW153" s="102"/>
      <c r="FX153" s="102"/>
      <c r="FY153" s="102"/>
      <c r="FZ153" s="102"/>
      <c r="GA153" s="102"/>
      <c r="GB153" s="102"/>
      <c r="GC153" s="102"/>
      <c r="GD153" s="102"/>
      <c r="GE153" s="102"/>
      <c r="GF153" s="102"/>
      <c r="GG153" s="102"/>
      <c r="GH153" s="102"/>
      <c r="GI153" s="102"/>
      <c r="GJ153" s="102"/>
      <c r="GK153" s="102"/>
      <c r="GL153" s="102"/>
      <c r="GM153" s="102"/>
      <c r="GN153" s="102"/>
      <c r="GO153" s="102"/>
      <c r="GP153" s="102"/>
      <c r="GQ153" s="102"/>
      <c r="GR153" s="102"/>
      <c r="GS153" s="102"/>
      <c r="GT153" s="102"/>
      <c r="GU153" s="102"/>
      <c r="GV153" s="102"/>
      <c r="GW153" s="102"/>
      <c r="GX153" s="102"/>
      <c r="GY153" s="102"/>
      <c r="GZ153" s="102"/>
      <c r="HA153" s="102"/>
      <c r="HB153" s="102"/>
      <c r="HC153" s="102"/>
      <c r="HD153" s="102"/>
      <c r="HE153" s="102"/>
      <c r="HF153" s="102"/>
      <c r="HG153" s="102"/>
      <c r="HH153" s="102"/>
      <c r="HI153" s="102"/>
      <c r="HJ153" s="102"/>
      <c r="HK153" s="102"/>
      <c r="HL153" s="102"/>
      <c r="HM153" s="102"/>
      <c r="HN153" s="102"/>
      <c r="HO153" s="102"/>
      <c r="HP153" s="102"/>
      <c r="HQ153" s="102"/>
      <c r="HR153" s="102"/>
      <c r="HS153" s="102"/>
      <c r="HT153" s="102"/>
      <c r="HU153" s="102"/>
      <c r="HV153" s="102"/>
      <c r="HW153" s="102"/>
      <c r="HX153" s="102"/>
      <c r="HY153" s="102"/>
      <c r="HZ153" s="102"/>
      <c r="IA153" s="102"/>
      <c r="IB153" s="102"/>
      <c r="IC153" s="102"/>
      <c r="ID153" s="102"/>
      <c r="IE153" s="102"/>
      <c r="IF153" s="102"/>
      <c r="IG153" s="102"/>
      <c r="IH153" s="102"/>
      <c r="II153" s="102"/>
      <c r="IJ153" s="102"/>
      <c r="IK153" s="102"/>
      <c r="IL153" s="102"/>
      <c r="IM153" s="102"/>
      <c r="IN153" s="102"/>
      <c r="IO153" s="102"/>
      <c r="IP153" s="102"/>
      <c r="IQ153" s="102"/>
      <c r="IR153" s="102"/>
      <c r="IS153" s="102"/>
      <c r="IT153" s="102"/>
      <c r="IU153" s="102"/>
      <c r="IV153" s="102"/>
      <c r="IW153" s="102"/>
      <c r="IX153" s="102"/>
      <c r="IY153" s="102"/>
      <c r="IZ153" s="102"/>
      <c r="JA153" s="102"/>
      <c r="JB153" s="102"/>
      <c r="JC153" s="102"/>
      <c r="JD153" s="102"/>
      <c r="JE153" s="102"/>
      <c r="JF153" s="102"/>
      <c r="JG153" s="102"/>
      <c r="JH153" s="102"/>
      <c r="JI153" s="102"/>
      <c r="JJ153" s="102"/>
      <c r="JK153" s="102"/>
      <c r="JL153" s="102"/>
      <c r="JM153" s="102"/>
      <c r="JN153" s="102"/>
      <c r="JO153" s="102"/>
      <c r="JP153" s="102"/>
      <c r="JQ153" s="102"/>
      <c r="JR153" s="102"/>
      <c r="JS153" s="102"/>
      <c r="JT153" s="102"/>
      <c r="JU153" s="102"/>
      <c r="JV153" s="102"/>
      <c r="JW153" s="102"/>
      <c r="JX153" s="102"/>
      <c r="JY153" s="102"/>
      <c r="JZ153" s="102"/>
      <c r="KA153" s="102"/>
      <c r="KB153" s="102"/>
      <c r="KC153" s="102"/>
      <c r="KD153" s="102"/>
      <c r="KE153" s="102"/>
      <c r="KF153" s="102"/>
      <c r="KG153" s="102"/>
      <c r="KH153" s="102"/>
      <c r="KI153" s="102"/>
      <c r="KJ153" s="102"/>
      <c r="KK153" s="102"/>
      <c r="KL153" s="102"/>
      <c r="KM153" s="102"/>
      <c r="KN153" s="102"/>
      <c r="KO153" s="102"/>
      <c r="KP153" s="102"/>
      <c r="KQ153" s="102"/>
      <c r="KR153" s="102"/>
      <c r="KS153" s="102"/>
      <c r="KT153" s="102"/>
      <c r="KU153" s="102"/>
      <c r="KV153" s="102"/>
      <c r="KW153" s="102"/>
      <c r="KX153" s="102"/>
      <c r="KY153" s="102"/>
      <c r="KZ153" s="102"/>
      <c r="LA153" s="102"/>
      <c r="LB153" s="102"/>
      <c r="LC153" s="102"/>
      <c r="LD153" s="102"/>
      <c r="LE153" s="102"/>
      <c r="LF153" s="102"/>
      <c r="LG153" s="102"/>
      <c r="LH153" s="102"/>
      <c r="LI153" s="102"/>
      <c r="LJ153" s="102"/>
      <c r="LK153" s="102"/>
      <c r="LL153" s="102"/>
      <c r="LM153" s="102"/>
      <c r="LN153" s="102"/>
      <c r="LO153" s="102"/>
      <c r="LP153" s="102"/>
      <c r="LQ153" s="102"/>
      <c r="LR153" s="102"/>
      <c r="LS153" s="102"/>
      <c r="LT153" s="102"/>
      <c r="LU153" s="102"/>
      <c r="LV153" s="102"/>
      <c r="LW153" s="102"/>
      <c r="LX153" s="102"/>
      <c r="LY153" s="102"/>
    </row>
  </sheetData>
  <sheetProtection algorithmName="SHA-512" hashValue="ayjXQaevxl5fvkIpqZi+gvuHIXjQmipAVOXBSMoekIgTxvRKnGEg0Q02ZmyqfuPCXtZ4claylKbIyY1dHj+BYg==" saltValue="k7aSjHuS3KQ0jlrhNMp/+g==" spinCount="100000" autoFilter="1" deleteColumns="1" deleteRows="1" formatCells="1" formatColumns="1" formatRows="1" insertColumns="1" insertHyperlinks="1" insertRows="1" objects="1" pivotTables="1" scenarios="1" selectLockedCells="0" selectUnlockedCells="0" sheet="1" sort="1"/>
  <mergeCells count="8">
    <mergeCell ref="A5:E5"/>
    <mergeCell ref="A15:E15"/>
    <mergeCell ref="A22:E22"/>
    <mergeCell ref="A28:E28"/>
    <mergeCell ref="B29:E29"/>
    <mergeCell ref="B30:E30"/>
    <mergeCell ref="B31:E31"/>
    <mergeCell ref="B32:E32"/>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drawing r:id="rId1"/>
  <extLst>
    <ext xmlns:x14="http://schemas.microsoft.com/office/spreadsheetml/2009/9/main" uri="{78C0D931-6437-407d-A8EE-F0AAD7539E65}">
      <x14:conditionalFormattings>
        <x14:conditionalFormatting xmlns:xm="http://schemas.microsoft.com/office/excel/2006/main">
          <x14:cfRule type="cellIs" priority="12" aboveAverage="0" operator="greaterThanOrEqual" rank="0" text="" id="{2C4A0E4A-1EBD-40A3-BD4C-03FAEC17A3C9}">
            <xm:f>5</xm:f>
            <x14:dxf>
              <font>
                <sz val="11.000000"/>
                <name val="Calibri"/>
              </font>
              <alignment indent="0" relativeIndent="0" shrinkToFit="0" textRotation="0" vertical="bottom" wrapText="0"/>
            </x14:dxf>
          </x14:cfRule>
          <xm:sqref>B7:B12</xm:sqref>
        </x14:conditionalFormatting>
        <x14:conditionalFormatting xmlns:xm="http://schemas.microsoft.com/office/excel/2006/main">
          <x14:cfRule type="cellIs" priority="13" operator="lessThan" id="{0B4AC2F5-A140-43BA-92EE-6E2A99F6B7C2}">
            <xm:f>2</xm:f>
            <x14:dxf>
              <font>
                <color rgb="FF9C0006"/>
              </font>
              <fill>
                <patternFill patternType="solid">
                  <fgColor rgb="FFFFC7CE"/>
                  <bgColor rgb="FFFFC7CE"/>
                </patternFill>
              </fill>
            </x14:dxf>
          </x14:cfRule>
          <xm:sqref>B7:B12</xm:sqref>
        </x14:conditionalFormatting>
        <x14:conditionalFormatting xmlns:xm="http://schemas.microsoft.com/office/excel/2006/main">
          <x14:cfRule type="cellIs" priority="14" operator="between" id="{C18E8CD4-0FE8-45B8-88D3-3E8EBBE35470}">
            <xm:f>4</xm:f>
            <x14:dxf>
              <font>
                <color rgb="FF9C5700"/>
              </font>
              <fill>
                <patternFill patternType="solid">
                  <fgColor rgb="FFFFEB9C"/>
                  <bgColor rgb="FFFFEB9C"/>
                </patternFill>
              </fill>
            </x14:dxf>
          </x14:cfRule>
          <xm:sqref>B7:B12</xm:sqref>
        </x14:conditionalFormatting>
        <x14:conditionalFormatting xmlns:xm="http://schemas.microsoft.com/office/excel/2006/main">
          <x14:cfRule type="expression" priority="15" id="{58DCB971-FFAD-4817-A03A-40441B4335FF}">
            <xm:f>B6&gt;=5</xm:f>
            <x14:dxf>
              <font>
                <b/>
                <color rgb="FF1A5E1A"/>
              </font>
              <fill>
                <patternFill patternType="solid">
                  <fgColor rgb="FFC6EFCE"/>
                  <bgColor rgb="FFC6EFCE"/>
                </patternFill>
              </fill>
            </x14:dxf>
          </x14:cfRule>
          <xm:sqref>B7:B12</xm:sqref>
        </x14:conditionalFormatting>
        <x14:conditionalFormatting xmlns:xm="http://schemas.microsoft.com/office/excel/2006/main">
          <x14:cfRule type="expression" priority="16" id="{F2E22E45-85F9-4F3F-8173-AA2594018F74}">
            <xm:f>AND(B6&gt;=3,B6&lt;5)</xm:f>
            <x14:dxf>
              <font>
                <b/>
                <color rgb="FF9C6500"/>
              </font>
              <fill>
                <patternFill patternType="solid">
                  <fgColor rgb="FFFFEB9C"/>
                  <bgColor rgb="FFFFEB9C"/>
                </patternFill>
              </fill>
            </x14:dxf>
          </x14:cfRule>
          <xm:sqref>B7:B12</xm:sqref>
        </x14:conditionalFormatting>
        <x14:conditionalFormatting xmlns:xm="http://schemas.microsoft.com/office/excel/2006/main">
          <x14:cfRule type="expression" priority="17" id="{84990DA1-FA5E-4EB4-A35D-F35A6587F8B9}">
            <xm:f>B6&lt;3</xm:f>
            <x14:dxf>
              <font>
                <b/>
                <color rgb="FF9C0006"/>
              </font>
              <fill>
                <patternFill patternType="solid">
                  <fgColor rgb="FFFFC7CE"/>
                  <bgColor rgb="FFFFC7CE"/>
                </patternFill>
              </fill>
            </x14:dxf>
          </x14:cfRule>
          <xm:sqref>B7:B12</xm:sqref>
        </x14:conditionalFormatting>
        <x14:conditionalFormatting xmlns:xm="http://schemas.microsoft.com/office/excel/2006/main">
          <x14:cfRule type="expression" priority="18" id="{636024AE-D1F1-43A5-98F1-63EDF7E6240F}">
            <xm:f>B6&gt;=5</xm:f>
            <x14:dxf>
              <font>
                <b/>
                <color rgb="FF1A5E1A"/>
              </font>
              <fill>
                <patternFill patternType="solid">
                  <fgColor rgb="FFC6EFCE"/>
                  <bgColor rgb="FFC6EFCE"/>
                </patternFill>
              </fill>
            </x14:dxf>
          </x14:cfRule>
          <xm:sqref>E7:E12</xm:sqref>
        </x14:conditionalFormatting>
        <x14:conditionalFormatting xmlns:xm="http://schemas.microsoft.com/office/excel/2006/main">
          <x14:cfRule type="expression" priority="19" id="{E7A13840-A18E-4076-89FC-4CD368B5997E}">
            <xm:f>AND(B6&gt;=3,B6&lt;5)</xm:f>
            <x14:dxf>
              <font>
                <b/>
                <color rgb="FF9C6500"/>
              </font>
              <fill>
                <patternFill patternType="solid">
                  <fgColor rgb="FFFFEB9C"/>
                  <bgColor rgb="FFFFEB9C"/>
                </patternFill>
              </fill>
            </x14:dxf>
          </x14:cfRule>
          <xm:sqref>E7:E12</xm:sqref>
        </x14:conditionalFormatting>
        <x14:conditionalFormatting xmlns:xm="http://schemas.microsoft.com/office/excel/2006/main">
          <x14:cfRule type="expression" priority="20" id="{2811AEDB-24EA-48D7-BD4E-0CCF08B220A1}">
            <xm:f>B6&lt;3</xm:f>
            <x14:dxf>
              <font>
                <b/>
                <color rgb="FF9C0006"/>
              </font>
              <fill>
                <patternFill patternType="solid">
                  <fgColor rgb="FFFFC7CE"/>
                  <bgColor rgb="FFFFC7CE"/>
                </patternFill>
              </fill>
            </x14:dxf>
          </x14:cfRule>
          <xm:sqref>E7:E12</xm:sqref>
        </x14:conditionalFormatting>
        <x14:conditionalFormatting xmlns:xm="http://schemas.microsoft.com/office/excel/2006/main">
          <x14:cfRule type="expression" priority="21" id="{00CAC2D6-67E3-43AA-81AE-17F95D25DDD1}">
            <xm:f>NOT(ISERROR(SEARCH("Integrated",E6)))</xm:f>
            <x14:dxf>
              <font>
                <color rgb="FF006100"/>
              </font>
              <fill>
                <patternFill patternType="solid">
                  <fgColor rgb="FFC6EFCE"/>
                  <bgColor rgb="FFC6EFCE"/>
                </patternFill>
              </fill>
            </x14:dxf>
          </x14:cfRule>
          <xm:sqref>E7:E12</xm:sqref>
        </x14:conditionalFormatting>
        <x14:conditionalFormatting xmlns:xm="http://schemas.microsoft.com/office/excel/2006/main">
          <x14:cfRule type="expression" priority="22" id="{92C5132F-BA87-4D15-8C99-CA9C86D2AA77}">
            <xm:f>NOT(ISERROR(SEARCH("Partially Integrated",E6)))</xm:f>
            <x14:dxf>
              <font>
                <color rgb="FF9C5700"/>
              </font>
              <fill>
                <patternFill patternType="solid">
                  <fgColor rgb="FFFFEB9C"/>
                  <bgColor rgb="FFFFEB9C"/>
                </patternFill>
              </fill>
            </x14:dxf>
          </x14:cfRule>
          <xm:sqref>E7:E12</xm:sqref>
        </x14:conditionalFormatting>
        <x14:conditionalFormatting xmlns:xm="http://schemas.microsoft.com/office/excel/2006/main">
          <x14:cfRule type="expression" priority="23" id="{8396EEF3-FE56-4EC9-B3BA-9ECC52917E2F}">
            <xm:f>NOT(ISERROR(SEARCH("Not Integrated",E6)))</xm:f>
            <x14:dxf>
              <font>
                <color rgb="FF9C0006"/>
              </font>
              <fill>
                <patternFill patternType="solid">
                  <fgColor rgb="FFFFC7CE"/>
                  <bgColor rgb="FFFFC7CE"/>
                </patternFill>
              </fill>
            </x14:dxf>
          </x14:cfRule>
          <xm:sqref>E7:E12</xm:sqref>
        </x14:conditionalFormatting>
        <x14:conditionalFormatting xmlns:xm="http://schemas.microsoft.com/office/excel/2006/main">
          <x14:cfRule type="expression" priority="24" id="{EEC48548-8F26-408B-A3A8-FCF75489F33E}">
            <xm:f>D16&gt;=0.75</xm:f>
            <x14:dxf>
              <font>
                <b/>
                <color rgb="FF1A5E1A"/>
              </font>
              <fill>
                <patternFill patternType="solid">
                  <fgColor rgb="FFC6EFCE"/>
                  <bgColor rgb="FFC6EFCE"/>
                </patternFill>
              </fill>
            </x14:dxf>
          </x14:cfRule>
          <xm:sqref>E17:E19</xm:sqref>
        </x14:conditionalFormatting>
        <x14:conditionalFormatting xmlns:xm="http://schemas.microsoft.com/office/excel/2006/main">
          <x14:cfRule type="expression" priority="25" id="{DDAC51D4-68D9-4C4F-B0A3-8F57DB18CD48}">
            <xm:f>AND(D16&gt;=0.5,D16&lt;0.75)</xm:f>
            <x14:dxf>
              <font>
                <b/>
                <color rgb="FF9C6500"/>
              </font>
              <fill>
                <patternFill patternType="solid">
                  <fgColor rgb="FFFFEB9C"/>
                  <bgColor rgb="FFFFEB9C"/>
                </patternFill>
              </fill>
            </x14:dxf>
          </x14:cfRule>
          <xm:sqref>E17:E19</xm:sqref>
        </x14:conditionalFormatting>
        <x14:conditionalFormatting xmlns:xm="http://schemas.microsoft.com/office/excel/2006/main">
          <x14:cfRule type="expression" priority="26" id="{08F08285-88CD-493F-9458-1736AE5E77E6}">
            <xm:f>D16&lt;0.5</xm:f>
            <x14:dxf>
              <font>
                <b/>
                <color rgb="FF9C0006"/>
              </font>
              <fill>
                <patternFill patternType="solid">
                  <fgColor rgb="FFFFC7CE"/>
                  <bgColor rgb="FFFFC7CE"/>
                </patternFill>
              </fill>
            </x14:dxf>
          </x14:cfRule>
          <xm:sqref>E17:E19</xm:sqref>
        </x14:conditionalFormatting>
        <x14:conditionalFormatting xmlns:xm="http://schemas.microsoft.com/office/excel/2006/main">
          <x14:cfRule type="expression" priority="27" id="{38572501-E6CB-4921-BA5A-D234DE9656F0}">
            <xm:f>NOT(ISERROR(SEARCH("Integrated",E16)))</xm:f>
            <x14:dxf>
              <font>
                <color rgb="FF006100"/>
              </font>
              <fill>
                <patternFill patternType="solid">
                  <fgColor rgb="FFC6EFCE"/>
                  <bgColor rgb="FFC6EFCE"/>
                </patternFill>
              </fill>
            </x14:dxf>
          </x14:cfRule>
          <xm:sqref>E17:E19</xm:sqref>
        </x14:conditionalFormatting>
        <x14:conditionalFormatting xmlns:xm="http://schemas.microsoft.com/office/excel/2006/main">
          <x14:cfRule type="expression" priority="28" id="{D904B560-2032-4ADB-861C-03BBDB8A053D}">
            <xm:f>NOT(ISERROR(SEARCH("Partially Integrated",E16)))</xm:f>
            <x14:dxf>
              <font>
                <color rgb="FF9C5700"/>
              </font>
              <fill>
                <patternFill patternType="solid">
                  <fgColor rgb="FFFFEB9C"/>
                  <bgColor rgb="FFFFEB9C"/>
                </patternFill>
              </fill>
            </x14:dxf>
          </x14:cfRule>
          <xm:sqref>E17:E19</xm:sqref>
        </x14:conditionalFormatting>
        <x14:conditionalFormatting xmlns:xm="http://schemas.microsoft.com/office/excel/2006/main">
          <x14:cfRule type="expression" priority="29" id="{07A04657-D094-435E-A480-85D2D66D471E}">
            <xm:f>NOT(ISERROR(SEARCH("Not Integrated",E16)))</xm:f>
            <x14:dxf>
              <font>
                <color rgb="FF9C0006"/>
              </font>
              <fill>
                <patternFill patternType="solid">
                  <fgColor rgb="FFFFC7CE"/>
                  <bgColor rgb="FFFFC7CE"/>
                </patternFill>
              </fill>
            </x14:dxf>
          </x14:cfRule>
          <xm:sqref>E17:E19</xm:sqref>
        </x14:conditionalFormatting>
        <x14:conditionalFormatting xmlns:xm="http://schemas.microsoft.com/office/excel/2006/main">
          <x14:cfRule type="expression" priority="30" id="{7148BBC5-ABF6-45C8-A2D9-CFAF95D23851}">
            <xm:f>D23&gt;=0.75</xm:f>
            <x14:dxf>
              <font>
                <b/>
                <color rgb="FF1A5E1A"/>
              </font>
              <fill>
                <patternFill patternType="solid">
                  <fgColor rgb="FFC6EFCE"/>
                  <bgColor rgb="FFC6EFCE"/>
                </patternFill>
              </fill>
            </x14:dxf>
          </x14:cfRule>
          <xm:sqref>E24</xm:sqref>
        </x14:conditionalFormatting>
        <x14:conditionalFormatting xmlns:xm="http://schemas.microsoft.com/office/excel/2006/main">
          <x14:cfRule type="expression" priority="31" id="{1FA52334-0A7E-4054-A4E1-BB0844C42711}">
            <xm:f>AND(D23&gt;=0.5,D23&lt;0.75)</xm:f>
            <x14:dxf>
              <font>
                <b/>
                <color rgb="FF9C6500"/>
              </font>
              <fill>
                <patternFill patternType="solid">
                  <fgColor rgb="FFFFEB9C"/>
                  <bgColor rgb="FFFFEB9C"/>
                </patternFill>
              </fill>
            </x14:dxf>
          </x14:cfRule>
          <xm:sqref>E24</xm:sqref>
        </x14:conditionalFormatting>
        <x14:conditionalFormatting xmlns:xm="http://schemas.microsoft.com/office/excel/2006/main">
          <x14:cfRule type="expression" priority="32" id="{95A72EA6-C4D5-4843-9644-C6B82277A389}">
            <xm:f>D23&lt;0.5</xm:f>
            <x14:dxf>
              <font>
                <b/>
                <color rgb="FF9C0006"/>
              </font>
              <fill>
                <patternFill patternType="solid">
                  <fgColor rgb="FFFFC7CE"/>
                  <bgColor rgb="FFFFC7CE"/>
                </patternFill>
              </fill>
            </x14:dxf>
          </x14:cfRule>
          <xm:sqref>E24</xm:sqref>
        </x14:conditionalFormatting>
        <x14:conditionalFormatting xmlns:xm="http://schemas.microsoft.com/office/excel/2006/main">
          <x14:cfRule type="expression" priority="33" id="{4882C8C0-C8BE-49CB-8BD2-176587B6D3EC}">
            <xm:f>NOT(ISERROR(SEARCH("Integrated",E23)))</xm:f>
            <x14:dxf>
              <font>
                <color rgb="FF006100"/>
              </font>
              <fill>
                <patternFill patternType="solid">
                  <fgColor rgb="FFC6EFCE"/>
                  <bgColor rgb="FFC6EFCE"/>
                </patternFill>
              </fill>
            </x14:dxf>
          </x14:cfRule>
          <xm:sqref>E24</xm:sqref>
        </x14:conditionalFormatting>
        <x14:conditionalFormatting xmlns:xm="http://schemas.microsoft.com/office/excel/2006/main">
          <x14:cfRule type="expression" priority="34" id="{AABE564C-8132-4587-8067-524DD173C7C5}">
            <xm:f>NOT(ISERROR(SEARCH("Partially Integrated",E23)))</xm:f>
            <x14:dxf>
              <font>
                <color rgb="FF9C5700"/>
              </font>
              <fill>
                <patternFill patternType="solid">
                  <fgColor rgb="FFFFEB9C"/>
                  <bgColor rgb="FFFFEB9C"/>
                </patternFill>
              </fill>
            </x14:dxf>
          </x14:cfRule>
          <xm:sqref>E24</xm:sqref>
        </x14:conditionalFormatting>
        <x14:conditionalFormatting xmlns:xm="http://schemas.microsoft.com/office/excel/2006/main">
          <x14:cfRule type="expression" priority="35" id="{4F432655-68A0-4647-ACCC-BF3C9D009907}">
            <xm:f>NOT(ISERROR(SEARCH("Not Integrated",E23)))</xm:f>
            <x14:dxf>
              <font>
                <color rgb="FF9C0006"/>
              </font>
              <fill>
                <patternFill patternType="solid">
                  <fgColor rgb="FFFFC7CE"/>
                  <bgColor rgb="FFFFC7CE"/>
                </patternFill>
              </fill>
            </x14:dxf>
          </x14:cfRule>
          <xm:sqref>E24</xm:sqref>
        </x14:conditionalFormatting>
        <x14:conditionalFormatting xmlns:xm="http://schemas.microsoft.com/office/excel/2006/main">
          <x14:cfRule type="cellIs" priority="36" operator="lessThan" id="{1B64D4DF-9DE6-4E09-8153-751DD8AD58D7}">
            <xm:f>50</xm:f>
            <x14:dxf>
              <font>
                <color rgb="FF9C0006"/>
              </font>
              <fill>
                <patternFill patternType="solid">
                  <fgColor rgb="FFFFC7CE"/>
                  <bgColor rgb="FFFFC7CE"/>
                </patternFill>
              </fill>
            </x14:dxf>
          </x14:cfRule>
          <xm:sqref>D7:D12</xm:sqref>
        </x14:conditionalFormatting>
        <x14:conditionalFormatting xmlns:xm="http://schemas.microsoft.com/office/excel/2006/main">
          <x14:cfRule type="cellIs" priority="37" operator="lessThan" id="{16A3463B-FCD9-4637-AF23-4354683CD9F8}">
            <xm:f>50</xm:f>
            <x14:dxf>
              <font>
                <color rgb="FF9C0006"/>
              </font>
              <fill>
                <patternFill patternType="solid">
                  <fgColor rgb="FFFFC7CE"/>
                  <bgColor rgb="FFFFC7CE"/>
                </patternFill>
              </fill>
            </x14:dxf>
          </x14:cfRule>
          <xm:sqref>D17</xm:sqref>
        </x14:conditionalFormatting>
        <x14:conditionalFormatting xmlns:xm="http://schemas.microsoft.com/office/excel/2006/main">
          <x14:cfRule type="cellIs" priority="38" operator="lessThan" id="{EB764E81-11B0-4361-A180-D50EBD6F9411}">
            <xm:f>50</xm:f>
            <x14:dxf>
              <font>
                <color rgb="FF9C0006"/>
              </font>
              <fill>
                <patternFill patternType="solid">
                  <fgColor rgb="FFFFC7CE"/>
                  <bgColor rgb="FFFFC7CE"/>
                </patternFill>
              </fill>
            </x14:dxf>
          </x14:cfRule>
          <xm:sqref>D18</xm:sqref>
        </x14:conditionalFormatting>
        <x14:conditionalFormatting xmlns:xm="http://schemas.microsoft.com/office/excel/2006/main">
          <x14:cfRule type="cellIs" priority="39" operator="lessThan" id="{2740585A-7622-45FF-9DF3-1B5C673CA19A}">
            <xm:f>50</xm:f>
            <x14:dxf>
              <font>
                <color rgb="FF9C0006"/>
              </font>
              <fill>
                <patternFill patternType="solid">
                  <fgColor rgb="FFFFC7CE"/>
                  <bgColor rgb="FFFFC7CE"/>
                </patternFill>
              </fill>
            </x14:dxf>
          </x14:cfRule>
          <xm:sqref>D19</xm:sqref>
        </x14:conditionalFormatting>
        <x14:conditionalFormatting xmlns:xm="http://schemas.microsoft.com/office/excel/2006/main">
          <x14:cfRule type="cellIs" priority="40" operator="lessThan" id="{DEE7A948-EA56-433F-9540-35CB839C5DDC}">
            <xm:f>50</xm:f>
            <x14:dxf>
              <font>
                <color rgb="FF9C0006"/>
              </font>
              <fill>
                <patternFill patternType="solid">
                  <fgColor rgb="FFFFC7CE"/>
                  <bgColor rgb="FFFFC7CE"/>
                </patternFill>
              </fill>
            </x14:dxf>
          </x14:cfRule>
          <xm:sqref>D24</xm:sqref>
        </x14:conditionalFormatting>
        <x14:conditionalFormatting xmlns:xm="http://schemas.microsoft.com/office/excel/2006/main">
          <x14:cfRule type="cellIs" priority="41" operator="greaterThanOrEqual" id="{78A0C62C-0375-4536-9CB4-BE1BF101065B}">
            <xm:f>36</xm:f>
            <x14:dxf>
              <font>
                <color rgb="FF006100"/>
              </font>
              <fill>
                <patternFill patternType="solid">
                  <fgColor rgb="FFC6EFCE"/>
                  <bgColor rgb="FFC6EFCE"/>
                </patternFill>
              </fill>
            </x14:dxf>
          </x14:cfRule>
          <xm:sqref>B24</xm:sqref>
        </x14:conditionalFormatting>
        <x14:conditionalFormatting xmlns:xm="http://schemas.microsoft.com/office/excel/2006/main">
          <x14:cfRule type="cellIs" priority="42" operator="between" id="{E333E942-15CE-4C5E-B7EA-BA0115B9B65B}">
            <xm:f>35</xm:f>
            <x14:dxf>
              <font>
                <color rgb="FF9C5700"/>
              </font>
              <fill>
                <patternFill patternType="solid">
                  <fgColor rgb="FFFFEB9C"/>
                  <bgColor rgb="FFFFEB9C"/>
                </patternFill>
              </fill>
            </x14:dxf>
          </x14:cfRule>
          <xm:sqref>B24</xm:sqref>
        </x14:conditionalFormatting>
        <x14:conditionalFormatting xmlns:xm="http://schemas.microsoft.com/office/excel/2006/main">
          <x14:cfRule type="cellIs" priority="43" operator="lessThanOrEqual" id="{E4F5E57A-B7D8-4F23-BA18-144C5801C2C2}">
            <xm:f>23</xm:f>
            <x14:dxf>
              <font>
                <color rgb="FF9C0006"/>
              </font>
              <fill>
                <patternFill patternType="solid">
                  <fgColor rgb="FFFFC7CE"/>
                  <bgColor rgb="FFFFC7CE"/>
                </patternFill>
              </fill>
            </x14:dxf>
          </x14:cfRule>
          <xm:sqref>B24</xm:sqref>
        </x14:conditionalFormatting>
        <x14:conditionalFormatting xmlns:xm="http://schemas.microsoft.com/office/excel/2006/main">
          <x14:cfRule type="cellIs" priority="44" operator="greaterThanOrEqual" id="{BCFE98C1-94E9-47F3-B76D-BD5EE20777A5}">
            <xm:f>9</xm:f>
            <x14:dxf>
              <font>
                <color rgb="FF006100"/>
              </font>
              <fill>
                <patternFill patternType="solid">
                  <fgColor rgb="FFC6EFCE"/>
                  <bgColor rgb="FFC6EFCE"/>
                </patternFill>
              </fill>
            </x14:dxf>
          </x14:cfRule>
          <xm:sqref>B18:B19</xm:sqref>
        </x14:conditionalFormatting>
        <x14:conditionalFormatting xmlns:xm="http://schemas.microsoft.com/office/excel/2006/main">
          <x14:cfRule type="cellIs" priority="45" operator="between" id="{0626EF85-70BE-40A9-8FB4-AC905AA4157A}">
            <xm:f>8</xm:f>
            <x14:dxf>
              <font>
                <color rgb="FF9C5700"/>
              </font>
              <fill>
                <patternFill patternType="solid">
                  <fgColor rgb="FFFFEB9C"/>
                  <bgColor rgb="FFFFEB9C"/>
                </patternFill>
              </fill>
            </x14:dxf>
          </x14:cfRule>
          <xm:sqref>B18:B19</xm:sqref>
        </x14:conditionalFormatting>
        <x14:conditionalFormatting xmlns:xm="http://schemas.microsoft.com/office/excel/2006/main">
          <x14:cfRule type="cellIs" priority="46" operator="lessThanOrEqual" id="{99C550EC-9552-465D-9502-FBE578894A68}">
            <xm:f>5</xm:f>
            <x14:dxf>
              <font>
                <color rgb="FF9C0006"/>
              </font>
              <fill>
                <patternFill patternType="solid">
                  <fgColor rgb="FFFFC7CE"/>
                  <bgColor rgb="FFFFC7CE"/>
                </patternFill>
              </fill>
            </x14:dxf>
          </x14:cfRule>
          <xm:sqref>B18:B19</xm:sqref>
        </x14:conditionalFormatting>
        <x14:conditionalFormatting xmlns:xm="http://schemas.microsoft.com/office/excel/2006/main">
          <x14:cfRule type="cellIs" priority="47" operator="greaterThanOrEqual" id="{7995F013-DC03-432A-8806-556DB3B33827}">
            <xm:f>18</xm:f>
            <x14:dxf>
              <font>
                <color rgb="FF006100"/>
              </font>
              <fill>
                <patternFill patternType="solid">
                  <fgColor rgb="FFC6EFCE"/>
                  <bgColor rgb="FFC6EFCE"/>
                </patternFill>
              </fill>
            </x14:dxf>
          </x14:cfRule>
          <xm:sqref>B17</xm:sqref>
        </x14:conditionalFormatting>
        <x14:conditionalFormatting xmlns:xm="http://schemas.microsoft.com/office/excel/2006/main">
          <x14:cfRule type="cellIs" priority="48" operator="between" id="{9ED8C316-A500-4323-9AB3-ABF0C6D15FE4}">
            <xm:f>17</xm:f>
            <x14:dxf>
              <font>
                <color rgb="FF9C5700"/>
              </font>
              <fill>
                <patternFill patternType="solid">
                  <fgColor rgb="FFFFEB9C"/>
                  <bgColor rgb="FFFFEB9C"/>
                </patternFill>
              </fill>
            </x14:dxf>
          </x14:cfRule>
          <xm:sqref>B17</xm:sqref>
        </x14:conditionalFormatting>
        <x14:conditionalFormatting xmlns:xm="http://schemas.microsoft.com/office/excel/2006/main">
          <x14:cfRule type="cellIs" priority="49" operator="lessThanOrEqual" id="{FBAF64D7-C7E9-4E2D-983B-4290E78B3288}">
            <xm:f>11</xm:f>
            <x14:dxf>
              <font>
                <color rgb="FF9C0006"/>
              </font>
              <fill>
                <patternFill patternType="solid">
                  <fgColor rgb="FFFFC7CE"/>
                  <bgColor rgb="FFFFC7CE"/>
                </patternFill>
              </fill>
            </x14:dxf>
          </x14:cfRule>
          <xm:sqref>B17</xm:sqref>
        </x14:conditionalFormatting>
        <x14:conditionalFormatting xmlns:xm="http://schemas.microsoft.com/office/excel/2006/main">
          <x14:cfRule type="containsText" priority="10" text="Not Integrated &lt;50%" id="{834F2722-0A0A-4BA4-B8C1-C738A08871A5}">
            <xm:f>NOT(ISERROR(SEARCH("Not Integrated &lt;50%",E7)))</xm:f>
            <x14:dxf>
              <font>
                <color rgb="FF9C0006"/>
              </font>
              <fill>
                <patternFill patternType="solid">
                  <fgColor rgb="FFFFC7CE"/>
                  <bgColor rgb="FFFFC7CE"/>
                </patternFill>
              </fill>
            </x14:dxf>
          </x14:cfRule>
          <xm:sqref>E7</xm:sqref>
        </x14:conditionalFormatting>
        <x14:conditionalFormatting xmlns:xm="http://schemas.microsoft.com/office/excel/2006/main">
          <x14:cfRule type="containsText" priority="9" text="Partially Integrated 50–74%" id="{C311FC5B-A788-4A59-997E-C67AC9F56230}">
            <xm:f>NOT(ISERROR(SEARCH("Partially Integrated 50–74%",E7)))</xm:f>
            <x14:dxf>
              <font>
                <color rgb="FF9C5700"/>
              </font>
              <fill>
                <patternFill patternType="solid">
                  <fgColor rgb="FFFFEB9C"/>
                  <bgColor rgb="FFFFEB9C"/>
                </patternFill>
              </fill>
            </x14:dxf>
          </x14:cfRule>
          <xm:sqref>E7</xm:sqref>
        </x14:conditionalFormatting>
        <x14:conditionalFormatting xmlns:xm="http://schemas.microsoft.com/office/excel/2006/main">
          <x14:cfRule type="containsText" priority="8" text="Integrated ≥75%" id="{86B0233D-A677-48D2-A295-200F9FF1D02E}">
            <xm:f>NOT(ISERROR(SEARCH("Integrated ≥75%",E7)))</xm:f>
            <x14:dxf>
              <font>
                <color rgb="FF006100"/>
              </font>
              <fill>
                <patternFill patternType="solid">
                  <fgColor rgb="FFC6EFCE"/>
                  <bgColor rgb="FFC6EFCE"/>
                </patternFill>
              </fill>
            </x14:dxf>
          </x14:cfRule>
          <xm:sqref>E7</xm:sqref>
        </x14:conditionalFormatting>
        <x14:conditionalFormatting xmlns:xm="http://schemas.microsoft.com/office/excel/2006/main">
          <x14:cfRule type="containsText" priority="7" text="Not Integrated &lt;50%" id="{A1950764-1D8C-49AA-954D-B7D1BB4D6444}">
            <xm:f>NOT(ISERROR(SEARCH("Not Integrated &lt;50%",E17)))</xm:f>
            <x14:dxf>
              <font>
                <color rgb="FF9C0006"/>
              </font>
              <fill>
                <patternFill patternType="solid">
                  <fgColor rgb="FFFFC7CE"/>
                  <bgColor rgb="FFFFC7CE"/>
                </patternFill>
              </fill>
            </x14:dxf>
          </x14:cfRule>
          <xm:sqref>E17</xm:sqref>
        </x14:conditionalFormatting>
        <x14:conditionalFormatting xmlns:xm="http://schemas.microsoft.com/office/excel/2006/main">
          <x14:cfRule type="containsText" priority="6" text="Not Integrated &lt;50%" id="{1DC36077-55B1-4B0E-B63A-DD88A760297A}">
            <xm:f>NOT(ISERROR(SEARCH("Not Integrated &lt;50%",E24)))</xm:f>
            <x14:dxf>
              <font>
                <color rgb="FF9C0006"/>
              </font>
              <fill>
                <patternFill patternType="solid">
                  <fgColor rgb="FFFFC7CE"/>
                  <bgColor rgb="FFFFC7CE"/>
                </patternFill>
              </fill>
            </x14:dxf>
          </x14:cfRule>
          <xm:sqref>E24</xm:sqref>
        </x14:conditionalFormatting>
        <x14:conditionalFormatting xmlns:xm="http://schemas.microsoft.com/office/excel/2006/main">
          <x14:cfRule type="containsText" priority="5" text="Partially Integrated 50–74%" id="{461A4021-DA62-497C-ADCC-EF63D9B0E3C9}">
            <xm:f>NOT(ISERROR(SEARCH("Partially Integrated 50–74%",E17)))</xm:f>
            <x14:dxf>
              <font>
                <color rgb="FF9C5700"/>
              </font>
              <fill>
                <patternFill patternType="solid">
                  <fgColor rgb="FFFFEB9C"/>
                  <bgColor rgb="FFFFEB9C"/>
                </patternFill>
              </fill>
            </x14:dxf>
          </x14:cfRule>
          <xm:sqref>E17</xm:sqref>
        </x14:conditionalFormatting>
        <x14:conditionalFormatting xmlns:xm="http://schemas.microsoft.com/office/excel/2006/main">
          <x14:cfRule type="containsText" priority="4" text="Partially Integrated 50–74%" id="{C540363F-1919-41A3-A767-26156323B8EE}">
            <xm:f>NOT(ISERROR(SEARCH("Partially Integrated 50–74%",E24)))</xm:f>
            <x14:dxf>
              <font>
                <color rgb="FF9C5700"/>
              </font>
              <fill>
                <patternFill patternType="solid">
                  <fgColor rgb="FFFFEB9C"/>
                  <bgColor rgb="FFFFEB9C"/>
                </patternFill>
              </fill>
            </x14:dxf>
          </x14:cfRule>
          <xm:sqref>E24</xm:sqref>
        </x14:conditionalFormatting>
        <x14:conditionalFormatting xmlns:xm="http://schemas.microsoft.com/office/excel/2006/main">
          <x14:cfRule type="containsText" priority="3" text="Integrated ≥75%" id="{13460DFB-5B6E-43C8-81BF-239F89692D7F}">
            <xm:f>NOT(ISERROR(SEARCH("Integrated ≥75%",E7)))</xm:f>
            <x14:dxf>
              <font>
                <color rgb="FF006100"/>
              </font>
              <fill>
                <patternFill patternType="solid">
                  <fgColor rgb="FFC6EFCE"/>
                  <bgColor rgb="FFC6EFCE"/>
                </patternFill>
              </fill>
            </x14:dxf>
          </x14:cfRule>
          <xm:sqref>E7</xm:sqref>
        </x14:conditionalFormatting>
        <x14:conditionalFormatting xmlns:xm="http://schemas.microsoft.com/office/excel/2006/main">
          <x14:cfRule type="containsText" priority="2" text="Integrated ≥75%" id="{DBF4E66A-E916-4A4E-996C-3F974CA80E02}">
            <xm:f>NOT(ISERROR(SEARCH("Integrated ≥75%",E17)))</xm:f>
            <x14:dxf>
              <font>
                <color rgb="FF006100"/>
              </font>
              <fill>
                <patternFill patternType="solid">
                  <fgColor rgb="FFC6EFCE"/>
                  <bgColor rgb="FFC6EFCE"/>
                </patternFill>
              </fill>
            </x14:dxf>
          </x14:cfRule>
          <xm:sqref>E17</xm:sqref>
        </x14:conditionalFormatting>
        <x14:conditionalFormatting xmlns:xm="http://schemas.microsoft.com/office/excel/2006/main">
          <x14:cfRule type="containsText" priority="1" text="Integrated ≥75%" id="{B390A710-0D9E-4946-A60B-52EBD2A8D583}">
            <xm:f>NOT(ISERROR(SEARCH("Integrated ≥75%",E24)))</xm:f>
            <x14:dxf>
              <font>
                <color rgb="FF006100"/>
              </font>
              <fill>
                <patternFill patternType="solid">
                  <fgColor rgb="FFC6EFCE"/>
                  <bgColor rgb="FFC6EFCE"/>
                </patternFill>
              </fill>
            </x14:dxf>
          </x14:cfRule>
          <xm:sqref>E24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F6B8E2"/>
    <outlinePr applyStyles="0" summaryBelow="1" summaryRight="1" showOutlineSymbols="1"/>
    <pageSetUpPr autoPageBreaks="1" fitToPage="0"/>
  </sheetPr>
  <sheetViews>
    <sheetView showFormulas="0" showGridLines="0" showRowColHeaders="1" showZeros="1" rightToLeft="0" view="normal" zoomScale="100" workbookViewId="0">
      <selection activeCell="C3" activeCellId="0" sqref="C3"/>
    </sheetView>
  </sheetViews>
  <sheetFormatPr defaultColWidth="8.6796875" defaultRowHeight="15" customHeight="1"/>
  <cols>
    <col customWidth="1" min="1" max="1" style="1" width="33.439999999999998"/>
    <col customWidth="1" min="2" max="2" style="1" width="51.869999999999997"/>
    <col customWidth="1" min="3" max="3" style="1" width="42.659999999999997"/>
  </cols>
  <sheetData>
    <row r="1" s="140" customFormat="1" ht="42" customHeight="1">
      <c r="A1" s="105" t="s">
        <v>328</v>
      </c>
      <c r="B1" s="105"/>
      <c r="C1" s="105"/>
    </row>
    <row r="2" ht="28.949999999999999" customHeight="1">
      <c r="A2" s="141" t="s">
        <v>329</v>
      </c>
      <c r="B2" s="141"/>
      <c r="C2" s="141"/>
    </row>
    <row r="3" ht="15" customHeight="1">
      <c r="A3" s="142"/>
      <c r="B3" s="142"/>
      <c r="C3" s="142"/>
    </row>
    <row r="4" s="143" customFormat="1" ht="22.699999999999999" customHeight="1">
      <c r="A4" s="144" t="s">
        <v>330</v>
      </c>
      <c r="B4" s="144" t="s">
        <v>331</v>
      </c>
      <c r="C4" s="145" t="s">
        <v>332</v>
      </c>
    </row>
    <row r="5" ht="79.5" customHeight="1">
      <c r="A5" s="146" t="s">
        <v>333</v>
      </c>
      <c r="B5" s="147" t="s">
        <v>334</v>
      </c>
      <c r="C5" s="148" t="s">
        <v>335</v>
      </c>
      <c r="D5" s="149"/>
    </row>
    <row r="6" ht="79.5" customHeight="1">
      <c r="A6" s="146" t="s">
        <v>336</v>
      </c>
      <c r="B6" s="147" t="s">
        <v>337</v>
      </c>
      <c r="C6" s="148" t="s">
        <v>338</v>
      </c>
      <c r="D6" s="149"/>
    </row>
    <row r="7" ht="79.5" customHeight="1">
      <c r="A7" s="146" t="s">
        <v>339</v>
      </c>
      <c r="B7" s="147" t="s">
        <v>340</v>
      </c>
      <c r="C7" s="148" t="s">
        <v>341</v>
      </c>
      <c r="D7" s="149"/>
    </row>
    <row r="8" ht="79.5" customHeight="1">
      <c r="A8" s="146" t="s">
        <v>342</v>
      </c>
      <c r="B8" s="147" t="s">
        <v>343</v>
      </c>
      <c r="C8" s="148" t="s">
        <v>344</v>
      </c>
      <c r="D8" s="149"/>
    </row>
    <row r="9" ht="79.5" customHeight="1">
      <c r="A9" s="150" t="s">
        <v>345</v>
      </c>
      <c r="B9" s="147" t="s">
        <v>346</v>
      </c>
      <c r="C9" s="148" t="s">
        <v>347</v>
      </c>
      <c r="D9" s="149"/>
    </row>
    <row r="10" ht="79.5" customHeight="1">
      <c r="A10" s="150" t="s">
        <v>348</v>
      </c>
      <c r="B10" s="147" t="s">
        <v>349</v>
      </c>
      <c r="C10" s="148" t="s">
        <v>350</v>
      </c>
      <c r="D10" s="149"/>
    </row>
    <row r="11" ht="79.5" customHeight="1">
      <c r="A11" s="151" t="s">
        <v>351</v>
      </c>
      <c r="B11" s="147" t="s">
        <v>352</v>
      </c>
      <c r="C11" s="148" t="s">
        <v>353</v>
      </c>
      <c r="D11" s="149"/>
    </row>
    <row r="12" ht="79.5" customHeight="1">
      <c r="A12" s="151" t="s">
        <v>354</v>
      </c>
      <c r="B12" s="147" t="s">
        <v>355</v>
      </c>
      <c r="C12" s="148" t="s">
        <v>356</v>
      </c>
      <c r="D12" s="149"/>
    </row>
  </sheetData>
  <sheetProtection algorithmName="SHA-512" hashValue="k2gb+C8vKEubcxzcPQ7JB9zxwlZWhalFhlRa6dAsjWzRrnbXHst43SwVcnf1jKoMwLXv1mDYHDzp6fXXMAT14A==" saltValue="eNO3bOH+GV2buPNA2bi+RQ==" spinCount="100000" autoFilter="1" deleteColumns="1" deleteRows="1" formatCells="1" formatColumns="1" formatRows="1" insertColumns="1" insertHyperlinks="1" insertRows="1" objects="1" pivotTables="1" scenarios="1" selectLockedCells="0" selectUnlockedCells="0" sheet="1" sort="1"/>
  <mergeCells count="2">
    <mergeCell ref="A1:C1"/>
    <mergeCell ref="A2:C2"/>
  </mergeCells>
  <printOptions headings="0" gridLines="0" horizontalCentered="0" verticalCentered="0"/>
  <pageMargins left="0.75" right="0.75" top="1" bottom="1" header="0.51181102362204689" footer="0.51181102362204689"/>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17CF8"/>
    <outlinePr applyStyles="0" summaryBelow="1" summaryRight="1" showOutlineSymbols="1"/>
    <pageSetUpPr autoPageBreaks="1" fitToPage="0"/>
  </sheetPr>
  <sheetViews>
    <sheetView showFormulas="0" showGridLines="0" showRowColHeaders="1" showZeros="1" rightToLeft="0" view="normal" zoomScale="100" workbookViewId="0">
      <selection activeCell="D4" activeCellId="0" sqref="D4"/>
    </sheetView>
  </sheetViews>
  <sheetFormatPr defaultColWidth="8.6796875" defaultRowHeight="15" customHeight="1"/>
  <cols>
    <col customWidth="1" min="1" max="1" style="46" width="3.00390625"/>
    <col customWidth="1" min="2" max="2" style="103" width="30.00390625"/>
    <col customWidth="1" min="3" max="3" style="103" width="30.710000000000001"/>
    <col customWidth="1" min="4" max="4" style="103" width="7.71"/>
    <col customWidth="1" min="5" max="5" style="103" width="33.939999999999998"/>
    <col customWidth="0" min="6" max="16384" style="46" width="8.6799999999999997"/>
  </cols>
  <sheetData>
    <row r="1" s="44" customFormat="1" ht="30.100000000000001" customHeight="1">
      <c r="B1" s="73" t="s">
        <v>357</v>
      </c>
      <c r="C1" s="73"/>
      <c r="D1" s="73"/>
      <c r="E1" s="73"/>
    </row>
    <row r="2" ht="43.100000000000001" customHeight="1">
      <c r="B2" s="152" t="s">
        <v>358</v>
      </c>
      <c r="C2" s="152"/>
      <c r="D2" s="152"/>
      <c r="E2" s="152"/>
    </row>
    <row r="4" ht="15">
      <c r="B4" s="153" t="s">
        <v>316</v>
      </c>
      <c r="C4" s="153" t="s">
        <v>359</v>
      </c>
      <c r="D4" s="153" t="s">
        <v>360</v>
      </c>
      <c r="E4" s="153" t="s">
        <v>361</v>
      </c>
    </row>
    <row r="5" ht="24.75" customHeight="1">
      <c r="B5" s="154" t="s">
        <v>33</v>
      </c>
      <c r="C5" s="155" t="s">
        <v>362</v>
      </c>
      <c r="D5" s="156" t="s">
        <v>360</v>
      </c>
      <c r="E5" s="157" t="s">
        <v>363</v>
      </c>
    </row>
    <row r="6" ht="24.75" customHeight="1">
      <c r="B6" s="158" t="s">
        <v>135</v>
      </c>
      <c r="C6" s="159" t="s">
        <v>364</v>
      </c>
      <c r="D6" s="160" t="s">
        <v>360</v>
      </c>
      <c r="E6" s="161" t="s">
        <v>365</v>
      </c>
    </row>
    <row r="7" ht="24.75" customHeight="1">
      <c r="B7" s="162" t="s">
        <v>186</v>
      </c>
      <c r="C7" s="163" t="s">
        <v>366</v>
      </c>
      <c r="D7" s="164" t="s">
        <v>360</v>
      </c>
      <c r="E7" s="165" t="s">
        <v>367</v>
      </c>
    </row>
    <row r="9" ht="17" customHeight="1"/>
    <row r="10" s="166" customFormat="1" ht="23.25" customHeight="1">
      <c r="B10" s="167" t="s">
        <v>368</v>
      </c>
      <c r="C10" s="168"/>
      <c r="D10" s="168"/>
      <c r="E10" s="168"/>
    </row>
    <row r="11" ht="28.399999999999999" customHeight="1">
      <c r="B11" s="169" t="s">
        <v>369</v>
      </c>
      <c r="C11" s="169"/>
      <c r="D11" s="169"/>
      <c r="E11" s="169"/>
    </row>
    <row r="12" ht="27" customHeight="1">
      <c r="B12" s="169" t="s">
        <v>370</v>
      </c>
      <c r="C12" s="169"/>
      <c r="D12" s="169"/>
      <c r="E12" s="169"/>
    </row>
    <row r="13" ht="25.5" customHeight="1">
      <c r="B13" s="169" t="s">
        <v>371</v>
      </c>
      <c r="C13" s="169"/>
      <c r="D13" s="169"/>
      <c r="E13" s="169"/>
    </row>
    <row r="14" ht="25.5" customHeight="1">
      <c r="B14" s="170" t="s">
        <v>372</v>
      </c>
      <c r="C14" s="170"/>
      <c r="D14" s="170"/>
      <c r="E14" s="170"/>
    </row>
    <row r="15" ht="60.200000000000003" customHeight="1">
      <c r="B15" s="171"/>
      <c r="C15" s="171"/>
      <c r="D15" s="171"/>
      <c r="E15" s="171"/>
    </row>
  </sheetData>
  <sheetProtection algorithmName="SHA-512" hashValue="/OYYjRohWPx7XLEt/pxhwxehsPJoNwE+eAbsfp7ZbDHKktHuRXtZTOwht9Q0Qr+x6wlGaikr8mAoyO23UhOwMA==" saltValue="F+3QSBlX0FMOEmaaWq4vFA==" spinCount="100000" autoFilter="1" deleteColumns="1" deleteRows="1" formatCells="1" formatColumns="1" formatRows="1" insertColumns="1" insertHyperlinks="1" insertRows="1" objects="1" pivotTables="1" scenarios="1" selectLockedCells="0" selectUnlockedCells="0" sheet="1" sort="1"/>
  <mergeCells count="7">
    <mergeCell ref="B1:E1"/>
    <mergeCell ref="B2:E2"/>
    <mergeCell ref="B11:E11"/>
    <mergeCell ref="B12:E12"/>
    <mergeCell ref="B13:E13"/>
    <mergeCell ref="B14:E14"/>
    <mergeCell ref="B15:E15"/>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lastModifiedBy>Mireia Orra De Salsas</cp:lastModifiedBy>
  <cp:revision>22</cp:revision>
  <dcterms:created xsi:type="dcterms:W3CDTF">2026-05-05T07:24:25Z</dcterms:created>
  <dcterms:modified xsi:type="dcterms:W3CDTF">2026-10-20T12:24:58Z</dcterms:modified>
</cp:coreProperties>
</file>